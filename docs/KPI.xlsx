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YL,TGI-2026\"/>
    </mc:Choice>
  </mc:AlternateContent>
  <xr:revisionPtr revIDLastSave="0" documentId="13_ncr:1_{03944463-DD75-4D79-B70E-81601DED6ABD}" xr6:coauthVersionLast="45" xr6:coauthVersionMax="45" xr10:uidLastSave="{00000000-0000-0000-0000-000000000000}"/>
  <bookViews>
    <workbookView xWindow="-108" yWindow="-108" windowWidth="23256" windowHeight="12456" xr2:uid="{E33B0399-0D47-444D-9AE6-9BA6A270545C}"/>
  </bookViews>
  <sheets>
    <sheet name="Saleman K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0" i="1" l="1"/>
  <c r="F152" i="1"/>
  <c r="F164" i="1"/>
  <c r="F188" i="1"/>
  <c r="F176" i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F128" i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F115" i="1"/>
  <c r="E114" i="1"/>
  <c r="G114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D102" i="1"/>
  <c r="C102" i="1"/>
  <c r="E101" i="1"/>
  <c r="E100" i="1"/>
  <c r="E98" i="1"/>
  <c r="E96" i="1"/>
  <c r="C93" i="1"/>
  <c r="C94" i="1" s="1"/>
  <c r="F10" i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F36" i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59" i="1"/>
  <c r="G59" i="1" s="1"/>
  <c r="E60" i="1"/>
  <c r="G60" i="1" s="1"/>
  <c r="E61" i="1"/>
  <c r="G61" i="1"/>
  <c r="F62" i="1"/>
  <c r="F88" i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1" i="1"/>
  <c r="G81" i="1" s="1"/>
  <c r="D76" i="1"/>
  <c r="C76" i="1"/>
  <c r="E75" i="1"/>
  <c r="E74" i="1"/>
  <c r="E72" i="1"/>
  <c r="E70" i="1"/>
  <c r="C67" i="1"/>
  <c r="C68" i="1" s="1"/>
  <c r="E58" i="1"/>
  <c r="G58" i="1" s="1"/>
  <c r="E57" i="1"/>
  <c r="G57" i="1" s="1"/>
  <c r="E56" i="1"/>
  <c r="G56" i="1" s="1"/>
  <c r="E55" i="1"/>
  <c r="G55" i="1" s="1"/>
  <c r="D50" i="1"/>
  <c r="C50" i="1"/>
  <c r="E49" i="1"/>
  <c r="E48" i="1"/>
  <c r="E46" i="1"/>
  <c r="E44" i="1"/>
  <c r="C41" i="1"/>
  <c r="C42" i="1" s="1"/>
  <c r="E20" i="1"/>
  <c r="E18" i="1"/>
  <c r="G36" i="1" l="1"/>
  <c r="L34" i="1" s="1"/>
  <c r="L35" i="1" s="1"/>
  <c r="G128" i="1"/>
  <c r="L125" i="1" s="1"/>
  <c r="L126" i="1" s="1"/>
  <c r="G164" i="1"/>
  <c r="L163" i="1" s="1"/>
  <c r="L164" i="1" s="1"/>
  <c r="G88" i="1"/>
  <c r="L86" i="1" s="1"/>
  <c r="L87" i="1" s="1"/>
  <c r="E102" i="1"/>
  <c r="G152" i="1"/>
  <c r="G140" i="1"/>
  <c r="L138" i="1" s="1"/>
  <c r="G10" i="1"/>
  <c r="L8" i="1" s="1"/>
  <c r="L9" i="1" s="1"/>
  <c r="G188" i="1"/>
  <c r="L187" i="1" s="1"/>
  <c r="L188" i="1" s="1"/>
  <c r="G176" i="1"/>
  <c r="L151" i="1"/>
  <c r="L152" i="1" s="1"/>
  <c r="L150" i="1"/>
  <c r="G115" i="1"/>
  <c r="E50" i="1"/>
  <c r="E76" i="1"/>
  <c r="G62" i="1"/>
  <c r="L60" i="1" s="1"/>
  <c r="L61" i="1" s="1"/>
  <c r="D24" i="1"/>
  <c r="C24" i="1"/>
  <c r="E23" i="1"/>
  <c r="E22" i="1"/>
  <c r="C15" i="1"/>
  <c r="C16" i="1" s="1"/>
  <c r="L139" i="1" l="1"/>
  <c r="L140" i="1" s="1"/>
  <c r="L162" i="1"/>
  <c r="L186" i="1"/>
  <c r="L175" i="1"/>
  <c r="L176" i="1" s="1"/>
  <c r="L174" i="1"/>
  <c r="L112" i="1"/>
  <c r="L113" i="1" s="1"/>
  <c r="E24" i="1"/>
</calcChain>
</file>

<file path=xl/sharedStrings.xml><?xml version="1.0" encoding="utf-8"?>
<sst xmlns="http://schemas.openxmlformats.org/spreadsheetml/2006/main" count="431" uniqueCount="71">
  <si>
    <t>No</t>
  </si>
  <si>
    <t>KPI</t>
  </si>
  <si>
    <t>Target</t>
  </si>
  <si>
    <t>Actual</t>
  </si>
  <si>
    <t>Achieved %</t>
  </si>
  <si>
    <t>Weight</t>
  </si>
  <si>
    <t>Achieved Weight</t>
  </si>
  <si>
    <t>Sales Achievement</t>
  </si>
  <si>
    <t>New Customer</t>
  </si>
  <si>
    <t>Customer Visit</t>
  </si>
  <si>
    <t>Collection</t>
  </si>
  <si>
    <t>Total</t>
  </si>
  <si>
    <t>Personal Sale Volume</t>
  </si>
  <si>
    <t>300ml 12's</t>
  </si>
  <si>
    <t>300ml 24's</t>
  </si>
  <si>
    <t>550ml</t>
  </si>
  <si>
    <t>1L</t>
  </si>
  <si>
    <t>Sales Target</t>
  </si>
  <si>
    <t>Target Q'ty</t>
  </si>
  <si>
    <t>Sales</t>
  </si>
  <si>
    <t>Target Achievement %</t>
  </si>
  <si>
    <t>KPI Calculation For Saleman</t>
  </si>
  <si>
    <t>Due</t>
  </si>
  <si>
    <t>Collected</t>
  </si>
  <si>
    <t>Achievement</t>
  </si>
  <si>
    <t>Outstanding</t>
  </si>
  <si>
    <t>Current Month Due</t>
  </si>
  <si>
    <t xml:space="preserve">Performance Appraisal </t>
  </si>
  <si>
    <t>Bonus payout scale</t>
  </si>
  <si>
    <t xml:space="preserve">Name </t>
  </si>
  <si>
    <t>Achi 80%</t>
  </si>
  <si>
    <t xml:space="preserve">Title </t>
  </si>
  <si>
    <t>Achi 100%</t>
  </si>
  <si>
    <t xml:space="preserve">Period </t>
  </si>
  <si>
    <t>Bonus Calculation</t>
  </si>
  <si>
    <t xml:space="preserve">Target Bonus ( MMK ) </t>
  </si>
  <si>
    <t xml:space="preserve">Bonus Achievement </t>
  </si>
  <si>
    <t>Actual bonus (MKK)</t>
  </si>
  <si>
    <t>% of bonus to payout</t>
  </si>
  <si>
    <t xml:space="preserve">Below 75% </t>
  </si>
  <si>
    <t>KPI Calculation For Sales Supervisor</t>
  </si>
  <si>
    <t>Team Sales Achievement</t>
  </si>
  <si>
    <t>New Customer Growth</t>
  </si>
  <si>
    <t>Team Customer Visit</t>
  </si>
  <si>
    <t>Team Collection Achievement</t>
  </si>
  <si>
    <t>Team Attendance &amp; Discipline</t>
  </si>
  <si>
    <t>Team Management &amp; Coaching</t>
  </si>
  <si>
    <t>Daily/Weekly Report Accuracy</t>
  </si>
  <si>
    <t>Attendance,Late &amp; Leave</t>
  </si>
  <si>
    <t>အလုပ်တာဝန်ပြီးမြောက်မှု</t>
  </si>
  <si>
    <t>Teamwork,Discipline</t>
  </si>
  <si>
    <t>Team Sale Volume</t>
  </si>
  <si>
    <t>Team Target Q'ty</t>
  </si>
  <si>
    <t>Team Collection</t>
  </si>
  <si>
    <t>KPI Calculation For Driver</t>
  </si>
  <si>
    <t>Leave ( 2days/Month )</t>
  </si>
  <si>
    <t>Attendance/Late ( 2days/Month )</t>
  </si>
  <si>
    <t>Customer Complaint</t>
  </si>
  <si>
    <r>
      <t>Teamwork/Discipline/</t>
    </r>
    <r>
      <rPr>
        <sz val="10"/>
        <color theme="1"/>
        <rFont val="Calibri"/>
        <family val="2"/>
        <scheme val="minor"/>
      </rPr>
      <t>တာဝန်ယူမှု</t>
    </r>
  </si>
  <si>
    <t>Controllable Damage Rate (0.01% on Delivery)</t>
  </si>
  <si>
    <t>Vehicle Maintenance/Fuel Cost Control</t>
  </si>
  <si>
    <t>Safe Driving/On-Time Delivery/Trip</t>
  </si>
  <si>
    <t>KPI Calculation For Helper</t>
  </si>
  <si>
    <t>Office/Workplace Cleanliness</t>
  </si>
  <si>
    <t>KPI Calculation For Storekeeper</t>
  </si>
  <si>
    <t>စာရင်းနှင့် လက်ကျန်ပစ္စည်း အရေအတွက်ကိုက်ညီမှု</t>
  </si>
  <si>
    <t>ပစ္စည်းပျောက်ဆုံးမှု / ပျက်စီးမှု ထိန်းချုပ်နိုင်မှု</t>
  </si>
  <si>
    <t>ပစ္စည်းအဝင် / အထွက် မှန်ကန်မှု</t>
  </si>
  <si>
    <t>Order နှင့် Delivery အတွက် ပစ္စည်းအချိန်မီ ပြင်ဆင်ပေးနိုင်မှု</t>
  </si>
  <si>
    <t>ဂိုဒေါင်သန့်ရှင်းမှုနှင့် ပစ္စည်းစနစ်တကျထားရှိမှု</t>
  </si>
  <si>
    <t>Attendance/Late/Leave ( 2days/Month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</si>
</sst>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trike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6" xfId="0" applyBorder="1"/>
    <xf numFmtId="9" fontId="0" fillId="0" borderId="6" xfId="0" applyNumberFormat="1" applyBorder="1"/>
    <xf numFmtId="0" fontId="0" fillId="0" borderId="11" xfId="0" applyBorder="1"/>
    <xf numFmtId="9" fontId="0" fillId="0" borderId="11" xfId="0" applyNumberFormat="1" applyBorder="1"/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2" fillId="2" borderId="3" xfId="0" applyNumberFormat="1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1" applyNumberFormat="1" applyFont="1" applyBorder="1" applyAlignment="1">
      <alignment horizontal="center" vertical="center"/>
    </xf>
    <xf numFmtId="0" fontId="6" fillId="0" borderId="0" xfId="0" applyFont="1"/>
    <xf numFmtId="164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6" fillId="7" borderId="1" xfId="0" applyFont="1" applyFill="1" applyBorder="1"/>
    <xf numFmtId="9" fontId="6" fillId="7" borderId="1" xfId="0" applyNumberFormat="1" applyFont="1" applyFill="1" applyBorder="1" applyAlignment="1">
      <alignment horizontal="right"/>
    </xf>
    <xf numFmtId="0" fontId="5" fillId="8" borderId="1" xfId="0" applyFont="1" applyFill="1" applyBorder="1"/>
    <xf numFmtId="9" fontId="6" fillId="7" borderId="1" xfId="0" applyNumberFormat="1" applyFont="1" applyFill="1" applyBorder="1"/>
    <xf numFmtId="0" fontId="7" fillId="0" borderId="0" xfId="0" applyFont="1" applyBorder="1"/>
    <xf numFmtId="165" fontId="5" fillId="0" borderId="0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9" fontId="2" fillId="0" borderId="0" xfId="0" applyNumberFormat="1" applyFont="1" applyFill="1" applyBorder="1"/>
    <xf numFmtId="164" fontId="2" fillId="0" borderId="0" xfId="0" applyNumberFormat="1" applyFont="1" applyFill="1" applyBorder="1"/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/>
    </xf>
    <xf numFmtId="9" fontId="0" fillId="0" borderId="1" xfId="2" applyFont="1" applyBorder="1"/>
    <xf numFmtId="9" fontId="9" fillId="0" borderId="1" xfId="2" applyNumberFormat="1" applyFont="1" applyBorder="1"/>
    <xf numFmtId="9" fontId="0" fillId="0" borderId="6" xfId="2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2" fillId="2" borderId="4" xfId="0" applyNumberFormat="1" applyFont="1" applyFill="1" applyBorder="1"/>
    <xf numFmtId="166" fontId="9" fillId="0" borderId="15" xfId="2" applyNumberFormat="1" applyFont="1" applyBorder="1"/>
    <xf numFmtId="164" fontId="5" fillId="0" borderId="1" xfId="1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164" fontId="5" fillId="4" borderId="6" xfId="1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164" fontId="5" fillId="4" borderId="11" xfId="1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164" fontId="5" fillId="9" borderId="6" xfId="1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6" fillId="0" borderId="1" xfId="0" applyFont="1" applyFill="1" applyBorder="1"/>
    <xf numFmtId="9" fontId="6" fillId="0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5" fillId="6" borderId="22" xfId="0" applyFont="1" applyFill="1" applyBorder="1"/>
    <xf numFmtId="0" fontId="5" fillId="6" borderId="23" xfId="0" applyFont="1" applyFill="1" applyBorder="1"/>
    <xf numFmtId="164" fontId="5" fillId="5" borderId="5" xfId="1" applyNumberFormat="1" applyFont="1" applyFill="1" applyBorder="1" applyAlignment="1">
      <alignment horizontal="center" vertical="center"/>
    </xf>
    <xf numFmtId="164" fontId="5" fillId="5" borderId="6" xfId="1" applyNumberFormat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164" fontId="5" fillId="0" borderId="8" xfId="1" applyNumberFormat="1" applyFont="1" applyFill="1" applyBorder="1" applyAlignment="1">
      <alignment horizontal="center" vertical="center"/>
    </xf>
    <xf numFmtId="164" fontId="5" fillId="0" borderId="9" xfId="1" applyNumberFormat="1" applyFont="1" applyFill="1" applyBorder="1" applyAlignment="1">
      <alignment horizontal="center" vertical="center"/>
    </xf>
    <xf numFmtId="164" fontId="5" fillId="0" borderId="10" xfId="1" applyNumberFormat="1" applyFont="1" applyFill="1" applyBorder="1" applyAlignment="1">
      <alignment horizontal="center" vertical="center"/>
    </xf>
    <xf numFmtId="164" fontId="5" fillId="0" borderId="11" xfId="1" applyNumberFormat="1" applyFont="1" applyFill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0" borderId="1" xfId="0" applyFill="1" applyBorder="1"/>
    <xf numFmtId="0" fontId="0" fillId="0" borderId="5" xfId="0" applyBorder="1"/>
    <xf numFmtId="10" fontId="0" fillId="0" borderId="6" xfId="0" applyNumberFormat="1" applyBorder="1"/>
    <xf numFmtId="10" fontId="0" fillId="0" borderId="7" xfId="0" applyNumberFormat="1" applyBorder="1"/>
    <xf numFmtId="0" fontId="0" fillId="0" borderId="8" xfId="0" applyBorder="1"/>
    <xf numFmtId="10" fontId="0" fillId="0" borderId="9" xfId="0" applyNumberFormat="1" applyBorder="1"/>
    <xf numFmtId="0" fontId="0" fillId="0" borderId="10" xfId="0" applyBorder="1"/>
    <xf numFmtId="0" fontId="0" fillId="0" borderId="11" xfId="0" applyFill="1" applyBorder="1"/>
    <xf numFmtId="10" fontId="0" fillId="0" borderId="11" xfId="0" applyNumberFormat="1" applyBorder="1"/>
    <xf numFmtId="10" fontId="0" fillId="0" borderId="12" xfId="0" applyNumberFormat="1" applyBorder="1"/>
    <xf numFmtId="43" fontId="0" fillId="2" borderId="3" xfId="1" applyFont="1" applyFill="1" applyBorder="1"/>
    <xf numFmtId="10" fontId="0" fillId="2" borderId="4" xfId="0" applyNumberFormat="1" applyFill="1" applyBorder="1"/>
    <xf numFmtId="0" fontId="0" fillId="0" borderId="24" xfId="0" applyBorder="1"/>
    <xf numFmtId="9" fontId="0" fillId="0" borderId="24" xfId="0" applyNumberFormat="1" applyBorder="1"/>
    <xf numFmtId="0" fontId="11" fillId="0" borderId="24" xfId="0" applyFont="1" applyBorder="1"/>
    <xf numFmtId="0" fontId="5" fillId="0" borderId="0" xfId="0" applyFont="1" applyFill="1" applyBorder="1"/>
    <xf numFmtId="0" fontId="7" fillId="0" borderId="0" xfId="0" applyFont="1" applyFill="1" applyBorder="1"/>
    <xf numFmtId="9" fontId="6" fillId="0" borderId="0" xfId="0" applyNumberFormat="1" applyFont="1" applyFill="1" applyBorder="1"/>
    <xf numFmtId="9" fontId="6" fillId="0" borderId="0" xfId="0" applyNumberFormat="1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/>
    </xf>
    <xf numFmtId="0" fontId="8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/>
    </xf>
    <xf numFmtId="0" fontId="5" fillId="0" borderId="17" xfId="0" applyFont="1" applyFill="1" applyBorder="1"/>
    <xf numFmtId="166" fontId="5" fillId="0" borderId="1" xfId="0" applyNumberFormat="1" applyFont="1" applyBorder="1" applyAlignment="1">
      <alignment horizontal="right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/>
    <xf numFmtId="0" fontId="5" fillId="0" borderId="0" xfId="0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19" xfId="0" applyBorder="1"/>
    <xf numFmtId="0" fontId="0" fillId="0" borderId="24" xfId="0" applyFill="1" applyBorder="1"/>
    <xf numFmtId="10" fontId="0" fillId="0" borderId="24" xfId="0" applyNumberFormat="1" applyBorder="1"/>
    <xf numFmtId="10" fontId="0" fillId="0" borderId="25" xfId="0" applyNumberFormat="1" applyBorder="1"/>
    <xf numFmtId="0" fontId="11" fillId="0" borderId="1" xfId="0" applyFont="1" applyBorder="1"/>
    <xf numFmtId="9" fontId="0" fillId="2" borderId="3" xfId="1" applyNumberFormat="1" applyFont="1" applyFill="1" applyBorder="1"/>
    <xf numFmtId="0" fontId="2" fillId="0" borderId="27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9" fontId="0" fillId="0" borderId="0" xfId="1" applyNumberFormat="1" applyFont="1" applyFill="1" applyBorder="1"/>
    <xf numFmtId="10" fontId="0" fillId="0" borderId="0" xfId="0" applyNumberFormat="1" applyFill="1" applyBorder="1"/>
    <xf numFmtId="0" fontId="11" fillId="0" borderId="6" xfId="0" applyFont="1" applyBorder="1"/>
    <xf numFmtId="0" fontId="11" fillId="0" borderId="1" xfId="0" applyFont="1" applyFill="1" applyBorder="1"/>
    <xf numFmtId="0" fontId="0" fillId="0" borderId="18" xfId="0" applyBorder="1"/>
    <xf numFmtId="0" fontId="2" fillId="0" borderId="2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636A-0305-40CE-979A-DAE7AC0218B2}">
  <dimension ref="A1:M188"/>
  <sheetViews>
    <sheetView tabSelected="1" workbookViewId="0">
      <selection activeCell="G1" sqref="G1"/>
    </sheetView>
  </sheetViews>
  <sheetFormatPr defaultRowHeight="14.4" x14ac:dyDescent="0.3"/>
  <cols>
    <col min="1" max="1" width="5" customWidth="1"/>
    <col min="2" max="2" width="43.88671875" customWidth="1"/>
    <col min="3" max="6" width="11.77734375" customWidth="1"/>
    <col min="7" max="7" width="14.33203125" customWidth="1"/>
    <col min="8" max="8" width="1.33203125" customWidth="1"/>
    <col min="9" max="12" width="19.21875" customWidth="1"/>
    <col min="13" max="13" width="19.109375" customWidth="1"/>
  </cols>
  <sheetData>
    <row r="1" spans="1:13" ht="15" thickBot="1" x14ac:dyDescent="0.35">
      <c r="A1" s="66" t="s">
        <v>21</v>
      </c>
      <c r="B1" s="66"/>
    </row>
    <row r="2" spans="1:13" ht="15" thickBot="1" x14ac:dyDescent="0.35">
      <c r="A2" s="44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6" t="s">
        <v>6</v>
      </c>
      <c r="I2" s="11" t="s">
        <v>27</v>
      </c>
      <c r="J2" s="11"/>
      <c r="K2" s="17"/>
      <c r="L2" s="18" t="s">
        <v>28</v>
      </c>
      <c r="M2" s="19" t="s">
        <v>38</v>
      </c>
    </row>
    <row r="3" spans="1:13" x14ac:dyDescent="0.3">
      <c r="A3" s="7">
        <v>1</v>
      </c>
      <c r="B3" s="3" t="s">
        <v>7</v>
      </c>
      <c r="C3" s="4">
        <v>1</v>
      </c>
      <c r="D3" s="42"/>
      <c r="E3" s="38">
        <f>D3/C3</f>
        <v>0</v>
      </c>
      <c r="F3" s="4">
        <v>0.35</v>
      </c>
      <c r="G3" s="39">
        <f>MIN(E3,100%)*F3</f>
        <v>0</v>
      </c>
      <c r="I3" s="17"/>
      <c r="J3" s="17"/>
      <c r="K3" s="17"/>
      <c r="L3" s="64"/>
      <c r="M3" s="65"/>
    </row>
    <row r="4" spans="1:13" x14ac:dyDescent="0.3">
      <c r="A4" s="8">
        <v>2</v>
      </c>
      <c r="B4" s="1" t="s">
        <v>8</v>
      </c>
      <c r="C4" s="2">
        <v>0.9</v>
      </c>
      <c r="D4" s="37"/>
      <c r="E4" s="36">
        <f>(D4/C4)</f>
        <v>0</v>
      </c>
      <c r="F4" s="2">
        <v>0.15</v>
      </c>
      <c r="G4" s="40">
        <f t="shared" ref="G4:G5" si="0">MIN(E4,100%)*F4</f>
        <v>0</v>
      </c>
      <c r="I4" s="22" t="s">
        <v>29</v>
      </c>
      <c r="J4" s="22"/>
      <c r="K4" s="17"/>
      <c r="L4" s="20" t="s">
        <v>39</v>
      </c>
      <c r="M4" s="21">
        <v>0</v>
      </c>
    </row>
    <row r="5" spans="1:13" x14ac:dyDescent="0.3">
      <c r="A5" s="8">
        <v>3</v>
      </c>
      <c r="B5" s="1" t="s">
        <v>9</v>
      </c>
      <c r="C5" s="2">
        <v>0.95</v>
      </c>
      <c r="D5" s="37"/>
      <c r="E5" s="36">
        <f>(D5/C5)</f>
        <v>0</v>
      </c>
      <c r="F5" s="2">
        <v>0.15</v>
      </c>
      <c r="G5" s="40">
        <f t="shared" si="0"/>
        <v>0</v>
      </c>
      <c r="I5" s="22" t="s">
        <v>31</v>
      </c>
      <c r="J5" s="22"/>
      <c r="K5" s="17"/>
      <c r="L5" s="23" t="s">
        <v>30</v>
      </c>
      <c r="M5" s="21">
        <v>0.2</v>
      </c>
    </row>
    <row r="6" spans="1:13" x14ac:dyDescent="0.3">
      <c r="A6" s="121">
        <v>4</v>
      </c>
      <c r="B6" s="1" t="s">
        <v>10</v>
      </c>
      <c r="C6" s="2">
        <v>0.95</v>
      </c>
      <c r="D6" s="2"/>
      <c r="E6" s="36">
        <f>D6/C6</f>
        <v>0</v>
      </c>
      <c r="F6" s="2">
        <v>0.2</v>
      </c>
      <c r="G6" s="122">
        <f>MIN(E6,100%)*F6</f>
        <v>0</v>
      </c>
      <c r="I6" s="22" t="s">
        <v>33</v>
      </c>
      <c r="J6" s="22"/>
      <c r="K6" s="17"/>
      <c r="L6" s="23" t="s">
        <v>32</v>
      </c>
      <c r="M6" s="21">
        <v>0.25</v>
      </c>
    </row>
    <row r="7" spans="1:13" x14ac:dyDescent="0.3">
      <c r="A7" s="121">
        <v>5</v>
      </c>
      <c r="B7" s="90" t="s">
        <v>48</v>
      </c>
      <c r="C7" s="2">
        <v>0.98</v>
      </c>
      <c r="D7" s="2"/>
      <c r="E7" s="36">
        <f t="shared" ref="E7:E9" si="1">D7/C7</f>
        <v>0</v>
      </c>
      <c r="F7" s="2">
        <v>0.05</v>
      </c>
      <c r="G7" s="122">
        <f t="shared" ref="G7:G9" si="2">MIN(E7,100%)*F7</f>
        <v>0</v>
      </c>
      <c r="I7" s="105"/>
      <c r="J7" s="118"/>
      <c r="K7" s="106"/>
      <c r="L7" s="107"/>
      <c r="M7" s="108"/>
    </row>
    <row r="8" spans="1:13" ht="15" thickBot="1" x14ac:dyDescent="0.35">
      <c r="A8" s="121">
        <v>6</v>
      </c>
      <c r="B8" s="1" t="s">
        <v>50</v>
      </c>
      <c r="C8" s="103">
        <v>0.9</v>
      </c>
      <c r="D8" s="2"/>
      <c r="E8" s="36">
        <f t="shared" si="1"/>
        <v>0</v>
      </c>
      <c r="F8" s="2">
        <v>0.05</v>
      </c>
      <c r="G8" s="122">
        <f t="shared" si="2"/>
        <v>0</v>
      </c>
      <c r="I8" s="11" t="s">
        <v>34</v>
      </c>
      <c r="J8" s="17"/>
      <c r="K8" s="10" t="s">
        <v>36</v>
      </c>
      <c r="L8" s="119">
        <f>G10</f>
        <v>0</v>
      </c>
      <c r="M8" s="108"/>
    </row>
    <row r="9" spans="1:13" ht="15" thickBot="1" x14ac:dyDescent="0.35">
      <c r="A9" s="120">
        <v>7</v>
      </c>
      <c r="B9" s="104" t="s">
        <v>49</v>
      </c>
      <c r="C9" s="103">
        <v>0.9</v>
      </c>
      <c r="D9" s="103"/>
      <c r="E9" s="36">
        <f t="shared" si="1"/>
        <v>0</v>
      </c>
      <c r="F9" s="103">
        <v>0.05</v>
      </c>
      <c r="G9" s="122">
        <f t="shared" si="2"/>
        <v>0</v>
      </c>
      <c r="I9" s="16" t="s">
        <v>35</v>
      </c>
      <c r="J9" s="31">
        <v>40000</v>
      </c>
      <c r="K9" s="30" t="s">
        <v>37</v>
      </c>
      <c r="L9" s="32">
        <f>IF(L8&lt;75%,0,J9*L8)</f>
        <v>0</v>
      </c>
      <c r="M9" s="108"/>
    </row>
    <row r="10" spans="1:13" ht="15" thickBot="1" x14ac:dyDescent="0.35">
      <c r="A10" s="33" t="s">
        <v>36</v>
      </c>
      <c r="B10" s="34"/>
      <c r="C10" s="34"/>
      <c r="D10" s="34"/>
      <c r="E10" s="34"/>
      <c r="F10" s="9">
        <f>SUM(F3:F9)</f>
        <v>1.0000000000000002</v>
      </c>
      <c r="G10" s="41">
        <f>SUM(G3:G6)</f>
        <v>0</v>
      </c>
      <c r="I10" s="105"/>
      <c r="J10" s="110"/>
      <c r="K10" s="111"/>
      <c r="L10" s="111"/>
    </row>
    <row r="11" spans="1:13" x14ac:dyDescent="0.3">
      <c r="A11" s="26"/>
      <c r="B11" s="26"/>
      <c r="C11" s="26"/>
      <c r="D11" s="26"/>
      <c r="E11" s="26"/>
      <c r="F11" s="27"/>
      <c r="G11" s="28"/>
      <c r="I11" s="105"/>
      <c r="J11" s="106"/>
      <c r="K11" s="112"/>
      <c r="L11" s="113"/>
    </row>
    <row r="12" spans="1:13" ht="15" thickBot="1" x14ac:dyDescent="0.35">
      <c r="B12" s="67" t="s">
        <v>12</v>
      </c>
      <c r="C12" s="68"/>
      <c r="D12" s="13"/>
      <c r="E12" s="13"/>
      <c r="F12" s="13"/>
      <c r="G12" s="13"/>
      <c r="I12" s="24"/>
      <c r="J12" s="24"/>
      <c r="K12" s="24"/>
    </row>
    <row r="13" spans="1:13" x14ac:dyDescent="0.3">
      <c r="B13" s="71" t="s">
        <v>17</v>
      </c>
      <c r="C13" s="72" t="s">
        <v>17</v>
      </c>
      <c r="D13" s="72" t="s">
        <v>13</v>
      </c>
      <c r="E13" s="72" t="s">
        <v>14</v>
      </c>
      <c r="F13" s="72" t="s">
        <v>15</v>
      </c>
      <c r="G13" s="73" t="s">
        <v>16</v>
      </c>
      <c r="I13" s="24"/>
      <c r="J13" s="15"/>
      <c r="K13" s="25"/>
    </row>
    <row r="14" spans="1:13" x14ac:dyDescent="0.3">
      <c r="B14" s="74" t="s">
        <v>18</v>
      </c>
      <c r="C14" s="43">
        <v>4000</v>
      </c>
      <c r="D14" s="43"/>
      <c r="E14" s="43"/>
      <c r="F14" s="43"/>
      <c r="G14" s="75"/>
    </row>
    <row r="15" spans="1:13" ht="15" thickBot="1" x14ac:dyDescent="0.35">
      <c r="B15" s="76" t="s">
        <v>19</v>
      </c>
      <c r="C15" s="77">
        <f>SUM(D15:G15)</f>
        <v>3500</v>
      </c>
      <c r="D15" s="77">
        <v>900</v>
      </c>
      <c r="E15" s="77">
        <v>600</v>
      </c>
      <c r="F15" s="77">
        <v>1000</v>
      </c>
      <c r="G15" s="78">
        <v>1000</v>
      </c>
    </row>
    <row r="16" spans="1:13" ht="15" thickBot="1" x14ac:dyDescent="0.35">
      <c r="B16" s="69" t="s">
        <v>20</v>
      </c>
      <c r="C16" s="70">
        <f>(C15/C14)*100</f>
        <v>87.5</v>
      </c>
      <c r="D16" s="14"/>
      <c r="E16" s="14"/>
      <c r="F16" s="14"/>
      <c r="G16" s="14"/>
    </row>
    <row r="17" spans="1:13" x14ac:dyDescent="0.3">
      <c r="B17" s="47" t="s">
        <v>8</v>
      </c>
      <c r="C17" s="48" t="s">
        <v>2</v>
      </c>
      <c r="D17" s="49" t="s">
        <v>3</v>
      </c>
      <c r="E17" s="50" t="s">
        <v>24</v>
      </c>
    </row>
    <row r="18" spans="1:13" ht="15" thickBot="1" x14ac:dyDescent="0.35">
      <c r="B18" s="51"/>
      <c r="C18" s="52">
        <v>20</v>
      </c>
      <c r="D18" s="53"/>
      <c r="E18" s="54">
        <f>(D18/C18)*100</f>
        <v>0</v>
      </c>
    </row>
    <row r="19" spans="1:13" x14ac:dyDescent="0.3">
      <c r="B19" s="79" t="s">
        <v>9</v>
      </c>
      <c r="C19" s="80" t="s">
        <v>2</v>
      </c>
      <c r="D19" s="81" t="s">
        <v>3</v>
      </c>
      <c r="E19" s="82" t="s">
        <v>24</v>
      </c>
    </row>
    <row r="20" spans="1:13" ht="15" thickBot="1" x14ac:dyDescent="0.35">
      <c r="B20" s="83"/>
      <c r="C20" s="77">
        <v>500</v>
      </c>
      <c r="D20" s="84"/>
      <c r="E20" s="85">
        <f>(D20/C20)*100</f>
        <v>0</v>
      </c>
    </row>
    <row r="21" spans="1:13" x14ac:dyDescent="0.3">
      <c r="B21" s="55" t="s">
        <v>10</v>
      </c>
      <c r="C21" s="56" t="s">
        <v>22</v>
      </c>
      <c r="D21" s="57" t="s">
        <v>23</v>
      </c>
      <c r="E21" s="58" t="s">
        <v>24</v>
      </c>
    </row>
    <row r="22" spans="1:13" x14ac:dyDescent="0.3">
      <c r="B22" s="59" t="s">
        <v>25</v>
      </c>
      <c r="C22" s="12">
        <v>5000000</v>
      </c>
      <c r="D22" s="35">
        <v>5000000</v>
      </c>
      <c r="E22" s="60">
        <f>(D22/C22)*100</f>
        <v>100</v>
      </c>
    </row>
    <row r="23" spans="1:13" ht="15" thickBot="1" x14ac:dyDescent="0.35">
      <c r="B23" s="61" t="s">
        <v>26</v>
      </c>
      <c r="C23" s="62">
        <v>7500000</v>
      </c>
      <c r="D23" s="62">
        <v>2500000</v>
      </c>
      <c r="E23" s="63">
        <f>(D23/C23)*100</f>
        <v>33.333333333333329</v>
      </c>
    </row>
    <row r="24" spans="1:13" ht="15" thickBot="1" x14ac:dyDescent="0.35">
      <c r="B24" s="141" t="s">
        <v>11</v>
      </c>
      <c r="C24" s="142">
        <f>SUM(C22:C23)</f>
        <v>12500000</v>
      </c>
      <c r="D24" s="142">
        <f>SUM(D22:D23)</f>
        <v>7500000</v>
      </c>
      <c r="E24" s="143">
        <f>(D24/C24)*100</f>
        <v>60</v>
      </c>
    </row>
    <row r="27" spans="1:13" ht="15" thickBot="1" x14ac:dyDescent="0.35">
      <c r="A27" s="66" t="s">
        <v>21</v>
      </c>
      <c r="B27" s="66"/>
    </row>
    <row r="28" spans="1:13" ht="15" thickBot="1" x14ac:dyDescent="0.35">
      <c r="A28" s="44" t="s">
        <v>0</v>
      </c>
      <c r="B28" s="45" t="s">
        <v>1</v>
      </c>
      <c r="C28" s="45" t="s">
        <v>2</v>
      </c>
      <c r="D28" s="45" t="s">
        <v>3</v>
      </c>
      <c r="E28" s="45" t="s">
        <v>4</v>
      </c>
      <c r="F28" s="45" t="s">
        <v>5</v>
      </c>
      <c r="G28" s="46" t="s">
        <v>6</v>
      </c>
      <c r="I28" s="11" t="s">
        <v>27</v>
      </c>
      <c r="J28" s="11"/>
      <c r="K28" s="17"/>
      <c r="L28" s="18" t="s">
        <v>28</v>
      </c>
      <c r="M28" s="19" t="s">
        <v>38</v>
      </c>
    </row>
    <row r="29" spans="1:13" x14ac:dyDescent="0.3">
      <c r="A29" s="7">
        <v>1</v>
      </c>
      <c r="B29" s="3" t="s">
        <v>7</v>
      </c>
      <c r="C29" s="4">
        <v>1</v>
      </c>
      <c r="D29" s="42"/>
      <c r="E29" s="38">
        <f>D29/C29</f>
        <v>0</v>
      </c>
      <c r="F29" s="4">
        <v>0.35</v>
      </c>
      <c r="G29" s="39">
        <f>MIN(E29,100%)*F29</f>
        <v>0</v>
      </c>
      <c r="I29" s="17"/>
      <c r="J29" s="17"/>
      <c r="K29" s="17"/>
      <c r="L29" s="64"/>
      <c r="M29" s="65"/>
    </row>
    <row r="30" spans="1:13" x14ac:dyDescent="0.3">
      <c r="A30" s="8">
        <v>2</v>
      </c>
      <c r="B30" s="1" t="s">
        <v>8</v>
      </c>
      <c r="C30" s="2">
        <v>0.9</v>
      </c>
      <c r="D30" s="37"/>
      <c r="E30" s="36">
        <f>(D30/C30)</f>
        <v>0</v>
      </c>
      <c r="F30" s="2">
        <v>0.15</v>
      </c>
      <c r="G30" s="40">
        <f t="shared" ref="G30:G31" si="3">MIN(E30,100%)*F30</f>
        <v>0</v>
      </c>
      <c r="I30" s="22" t="s">
        <v>29</v>
      </c>
      <c r="J30" s="22"/>
      <c r="K30" s="17"/>
      <c r="L30" s="20" t="s">
        <v>39</v>
      </c>
      <c r="M30" s="21">
        <v>0</v>
      </c>
    </row>
    <row r="31" spans="1:13" x14ac:dyDescent="0.3">
      <c r="A31" s="8">
        <v>3</v>
      </c>
      <c r="B31" s="1" t="s">
        <v>9</v>
      </c>
      <c r="C31" s="2">
        <v>0.95</v>
      </c>
      <c r="D31" s="37"/>
      <c r="E31" s="36">
        <f>(D31/C31)</f>
        <v>0</v>
      </c>
      <c r="F31" s="2">
        <v>0.15</v>
      </c>
      <c r="G31" s="40">
        <f t="shared" si="3"/>
        <v>0</v>
      </c>
      <c r="I31" s="22" t="s">
        <v>31</v>
      </c>
      <c r="J31" s="22"/>
      <c r="K31" s="17"/>
      <c r="L31" s="23" t="s">
        <v>30</v>
      </c>
      <c r="M31" s="21">
        <v>0.2</v>
      </c>
    </row>
    <row r="32" spans="1:13" x14ac:dyDescent="0.3">
      <c r="A32" s="121">
        <v>4</v>
      </c>
      <c r="B32" s="1" t="s">
        <v>10</v>
      </c>
      <c r="C32" s="2">
        <v>0.95</v>
      </c>
      <c r="D32" s="2"/>
      <c r="E32" s="36">
        <f>D32/C32</f>
        <v>0</v>
      </c>
      <c r="F32" s="2">
        <v>0.2</v>
      </c>
      <c r="G32" s="122">
        <f>MIN(E32,100%)*F32</f>
        <v>0</v>
      </c>
      <c r="I32" s="22" t="s">
        <v>33</v>
      </c>
      <c r="J32" s="22"/>
      <c r="K32" s="17"/>
      <c r="L32" s="23" t="s">
        <v>32</v>
      </c>
      <c r="M32" s="21">
        <v>0.25</v>
      </c>
    </row>
    <row r="33" spans="1:13" x14ac:dyDescent="0.3">
      <c r="A33" s="121">
        <v>5</v>
      </c>
      <c r="B33" s="90" t="s">
        <v>48</v>
      </c>
      <c r="C33" s="2">
        <v>0.98</v>
      </c>
      <c r="D33" s="2"/>
      <c r="E33" s="36">
        <f t="shared" ref="E33:E35" si="4">D33/C33</f>
        <v>0</v>
      </c>
      <c r="F33" s="2">
        <v>0.05</v>
      </c>
      <c r="G33" s="122">
        <f t="shared" ref="G33:G35" si="5">MIN(E33,100%)*F33</f>
        <v>0</v>
      </c>
      <c r="I33" s="105"/>
      <c r="J33" s="118"/>
      <c r="K33" s="106"/>
      <c r="L33" s="107"/>
      <c r="M33" s="108"/>
    </row>
    <row r="34" spans="1:13" ht="15" thickBot="1" x14ac:dyDescent="0.35">
      <c r="A34" s="121">
        <v>6</v>
      </c>
      <c r="B34" s="1" t="s">
        <v>50</v>
      </c>
      <c r="C34" s="103">
        <v>0.9</v>
      </c>
      <c r="D34" s="2"/>
      <c r="E34" s="36">
        <f t="shared" si="4"/>
        <v>0</v>
      </c>
      <c r="F34" s="2">
        <v>0.05</v>
      </c>
      <c r="G34" s="122">
        <f t="shared" si="5"/>
        <v>0</v>
      </c>
      <c r="I34" s="11" t="s">
        <v>34</v>
      </c>
      <c r="J34" s="17"/>
      <c r="K34" s="10" t="s">
        <v>36</v>
      </c>
      <c r="L34" s="119">
        <f>G36</f>
        <v>0</v>
      </c>
      <c r="M34" s="108"/>
    </row>
    <row r="35" spans="1:13" ht="15" thickBot="1" x14ac:dyDescent="0.35">
      <c r="A35" s="120">
        <v>7</v>
      </c>
      <c r="B35" s="104" t="s">
        <v>49</v>
      </c>
      <c r="C35" s="103">
        <v>0.9</v>
      </c>
      <c r="D35" s="103"/>
      <c r="E35" s="36">
        <f t="shared" si="4"/>
        <v>0</v>
      </c>
      <c r="F35" s="103">
        <v>0.05</v>
      </c>
      <c r="G35" s="122">
        <f t="shared" si="5"/>
        <v>0</v>
      </c>
      <c r="I35" s="16" t="s">
        <v>35</v>
      </c>
      <c r="J35" s="31">
        <v>40000</v>
      </c>
      <c r="K35" s="30" t="s">
        <v>37</v>
      </c>
      <c r="L35" s="32">
        <f>IF(L34&lt;75%,0,J35*L34)</f>
        <v>0</v>
      </c>
      <c r="M35" s="108"/>
    </row>
    <row r="36" spans="1:13" ht="15" thickBot="1" x14ac:dyDescent="0.35">
      <c r="A36" s="33" t="s">
        <v>36</v>
      </c>
      <c r="B36" s="34"/>
      <c r="C36" s="34"/>
      <c r="D36" s="34"/>
      <c r="E36" s="34"/>
      <c r="F36" s="9">
        <f>SUM(F29:F35)</f>
        <v>1.0000000000000002</v>
      </c>
      <c r="G36" s="41">
        <f>SUM(G29:G32)</f>
        <v>0</v>
      </c>
      <c r="I36" s="105"/>
      <c r="J36" s="110"/>
      <c r="K36" s="111"/>
      <c r="L36" s="111"/>
    </row>
    <row r="37" spans="1:13" x14ac:dyDescent="0.3">
      <c r="A37" s="26"/>
      <c r="B37" s="26"/>
      <c r="C37" s="26"/>
      <c r="D37" s="26"/>
      <c r="E37" s="26"/>
      <c r="F37" s="27"/>
      <c r="G37" s="28"/>
      <c r="I37" s="105"/>
      <c r="J37" s="106"/>
      <c r="K37" s="112"/>
      <c r="L37" s="113"/>
    </row>
    <row r="38" spans="1:13" ht="15" thickBot="1" x14ac:dyDescent="0.35">
      <c r="B38" s="67" t="s">
        <v>12</v>
      </c>
      <c r="C38" s="68"/>
      <c r="D38" s="13"/>
      <c r="E38" s="13"/>
      <c r="F38" s="13"/>
      <c r="G38" s="13"/>
      <c r="I38" s="24"/>
      <c r="J38" s="24"/>
      <c r="K38" s="24"/>
    </row>
    <row r="39" spans="1:13" x14ac:dyDescent="0.3">
      <c r="B39" s="71" t="s">
        <v>17</v>
      </c>
      <c r="C39" s="72" t="s">
        <v>17</v>
      </c>
      <c r="D39" s="72" t="s">
        <v>13</v>
      </c>
      <c r="E39" s="72" t="s">
        <v>14</v>
      </c>
      <c r="F39" s="72" t="s">
        <v>15</v>
      </c>
      <c r="G39" s="73" t="s">
        <v>16</v>
      </c>
      <c r="I39" s="24"/>
      <c r="J39" s="15"/>
      <c r="K39" s="25"/>
    </row>
    <row r="40" spans="1:13" x14ac:dyDescent="0.3">
      <c r="B40" s="74" t="s">
        <v>18</v>
      </c>
      <c r="C40" s="43">
        <v>4000</v>
      </c>
      <c r="D40" s="43"/>
      <c r="E40" s="43"/>
      <c r="F40" s="43"/>
      <c r="G40" s="75"/>
    </row>
    <row r="41" spans="1:13" ht="15" thickBot="1" x14ac:dyDescent="0.35">
      <c r="B41" s="76" t="s">
        <v>19</v>
      </c>
      <c r="C41" s="77">
        <f>SUM(D41:G41)</f>
        <v>3500</v>
      </c>
      <c r="D41" s="77">
        <v>900</v>
      </c>
      <c r="E41" s="77">
        <v>600</v>
      </c>
      <c r="F41" s="77">
        <v>1000</v>
      </c>
      <c r="G41" s="78">
        <v>1000</v>
      </c>
    </row>
    <row r="42" spans="1:13" ht="15" thickBot="1" x14ac:dyDescent="0.35">
      <c r="B42" s="69" t="s">
        <v>20</v>
      </c>
      <c r="C42" s="70">
        <f>(C41/C40)*100</f>
        <v>87.5</v>
      </c>
      <c r="D42" s="14"/>
      <c r="E42" s="14"/>
      <c r="F42" s="14"/>
      <c r="G42" s="14"/>
    </row>
    <row r="43" spans="1:13" x14ac:dyDescent="0.3">
      <c r="B43" s="47" t="s">
        <v>8</v>
      </c>
      <c r="C43" s="48" t="s">
        <v>2</v>
      </c>
      <c r="D43" s="49" t="s">
        <v>3</v>
      </c>
      <c r="E43" s="50" t="s">
        <v>24</v>
      </c>
    </row>
    <row r="44" spans="1:13" ht="15" thickBot="1" x14ac:dyDescent="0.35">
      <c r="B44" s="51"/>
      <c r="C44" s="52">
        <v>20</v>
      </c>
      <c r="D44" s="53">
        <v>15</v>
      </c>
      <c r="E44" s="54">
        <f>(D44/C44)*100</f>
        <v>75</v>
      </c>
    </row>
    <row r="45" spans="1:13" x14ac:dyDescent="0.3">
      <c r="B45" s="79" t="s">
        <v>9</v>
      </c>
      <c r="C45" s="80" t="s">
        <v>2</v>
      </c>
      <c r="D45" s="81" t="s">
        <v>3</v>
      </c>
      <c r="E45" s="82" t="s">
        <v>24</v>
      </c>
    </row>
    <row r="46" spans="1:13" ht="15" thickBot="1" x14ac:dyDescent="0.35">
      <c r="B46" s="83"/>
      <c r="C46" s="77">
        <v>150</v>
      </c>
      <c r="D46" s="84">
        <v>100</v>
      </c>
      <c r="E46" s="85">
        <f>(D46/C46)*100</f>
        <v>66.666666666666657</v>
      </c>
    </row>
    <row r="47" spans="1:13" x14ac:dyDescent="0.3">
      <c r="B47" s="55" t="s">
        <v>10</v>
      </c>
      <c r="C47" s="56" t="s">
        <v>22</v>
      </c>
      <c r="D47" s="57" t="s">
        <v>23</v>
      </c>
      <c r="E47" s="58" t="s">
        <v>24</v>
      </c>
    </row>
    <row r="48" spans="1:13" x14ac:dyDescent="0.3">
      <c r="B48" s="59" t="s">
        <v>25</v>
      </c>
      <c r="C48" s="12">
        <v>5000000</v>
      </c>
      <c r="D48" s="35">
        <v>5000000</v>
      </c>
      <c r="E48" s="60">
        <f>(D48/C48)*100</f>
        <v>100</v>
      </c>
    </row>
    <row r="49" spans="1:13" ht="15" thickBot="1" x14ac:dyDescent="0.35">
      <c r="B49" s="61" t="s">
        <v>26</v>
      </c>
      <c r="C49" s="62">
        <v>7500000</v>
      </c>
      <c r="D49" s="62">
        <v>2500000</v>
      </c>
      <c r="E49" s="63">
        <f>(D49/C49)*100</f>
        <v>33.333333333333329</v>
      </c>
    </row>
    <row r="50" spans="1:13" ht="15" thickBot="1" x14ac:dyDescent="0.35">
      <c r="B50" s="141" t="s">
        <v>11</v>
      </c>
      <c r="C50" s="142">
        <f>SUM(C48:C49)</f>
        <v>12500000</v>
      </c>
      <c r="D50" s="142">
        <f>SUM(D48:D49)</f>
        <v>7500000</v>
      </c>
      <c r="E50" s="143">
        <f>(D50/C50)*100</f>
        <v>60</v>
      </c>
    </row>
    <row r="53" spans="1:13" ht="15" thickBot="1" x14ac:dyDescent="0.35">
      <c r="A53" s="66" t="s">
        <v>21</v>
      </c>
      <c r="B53" s="66"/>
    </row>
    <row r="54" spans="1:13" ht="15" thickBot="1" x14ac:dyDescent="0.35">
      <c r="A54" s="44" t="s">
        <v>0</v>
      </c>
      <c r="B54" s="45" t="s">
        <v>1</v>
      </c>
      <c r="C54" s="45" t="s">
        <v>2</v>
      </c>
      <c r="D54" s="45" t="s">
        <v>3</v>
      </c>
      <c r="E54" s="45" t="s">
        <v>4</v>
      </c>
      <c r="F54" s="45" t="s">
        <v>5</v>
      </c>
      <c r="G54" s="46" t="s">
        <v>6</v>
      </c>
      <c r="I54" s="11" t="s">
        <v>27</v>
      </c>
      <c r="J54" s="11"/>
      <c r="K54" s="17"/>
      <c r="L54" s="18" t="s">
        <v>28</v>
      </c>
      <c r="M54" s="19" t="s">
        <v>38</v>
      </c>
    </row>
    <row r="55" spans="1:13" x14ac:dyDescent="0.3">
      <c r="A55" s="7">
        <v>1</v>
      </c>
      <c r="B55" s="3" t="s">
        <v>7</v>
      </c>
      <c r="C55" s="4">
        <v>1</v>
      </c>
      <c r="D55" s="42"/>
      <c r="E55" s="38">
        <f>D55/C55</f>
        <v>0</v>
      </c>
      <c r="F55" s="4">
        <v>0.35</v>
      </c>
      <c r="G55" s="39">
        <f>MIN(E55,100%)*F55</f>
        <v>0</v>
      </c>
      <c r="I55" s="17"/>
      <c r="J55" s="17"/>
      <c r="K55" s="17"/>
      <c r="L55" s="64"/>
      <c r="M55" s="65"/>
    </row>
    <row r="56" spans="1:13" x14ac:dyDescent="0.3">
      <c r="A56" s="8">
        <v>2</v>
      </c>
      <c r="B56" s="1" t="s">
        <v>8</v>
      </c>
      <c r="C56" s="2">
        <v>0.9</v>
      </c>
      <c r="D56" s="37"/>
      <c r="E56" s="36">
        <f>(D56/C56)</f>
        <v>0</v>
      </c>
      <c r="F56" s="2">
        <v>0.15</v>
      </c>
      <c r="G56" s="40">
        <f t="shared" ref="G56:G57" si="6">MIN(E56,100%)*F56</f>
        <v>0</v>
      </c>
      <c r="I56" s="22" t="s">
        <v>29</v>
      </c>
      <c r="J56" s="22"/>
      <c r="K56" s="17"/>
      <c r="L56" s="20" t="s">
        <v>39</v>
      </c>
      <c r="M56" s="21">
        <v>0</v>
      </c>
    </row>
    <row r="57" spans="1:13" x14ac:dyDescent="0.3">
      <c r="A57" s="8">
        <v>3</v>
      </c>
      <c r="B57" s="1" t="s">
        <v>9</v>
      </c>
      <c r="C57" s="2">
        <v>0.95</v>
      </c>
      <c r="D57" s="37"/>
      <c r="E57" s="36">
        <f>(D57/C57)</f>
        <v>0</v>
      </c>
      <c r="F57" s="2">
        <v>0.15</v>
      </c>
      <c r="G57" s="40">
        <f t="shared" si="6"/>
        <v>0</v>
      </c>
      <c r="I57" s="22" t="s">
        <v>31</v>
      </c>
      <c r="J57" s="22"/>
      <c r="K57" s="17"/>
      <c r="L57" s="23" t="s">
        <v>30</v>
      </c>
      <c r="M57" s="21">
        <v>0.2</v>
      </c>
    </row>
    <row r="58" spans="1:13" x14ac:dyDescent="0.3">
      <c r="A58" s="121">
        <v>4</v>
      </c>
      <c r="B58" s="1" t="s">
        <v>10</v>
      </c>
      <c r="C58" s="2">
        <v>0.95</v>
      </c>
      <c r="D58" s="2"/>
      <c r="E58" s="36">
        <f>D58/C58</f>
        <v>0</v>
      </c>
      <c r="F58" s="2">
        <v>0.2</v>
      </c>
      <c r="G58" s="122">
        <f>MIN(E58,100%)*F58</f>
        <v>0</v>
      </c>
      <c r="I58" s="22" t="s">
        <v>33</v>
      </c>
      <c r="J58" s="22"/>
      <c r="K58" s="17"/>
      <c r="L58" s="23" t="s">
        <v>32</v>
      </c>
      <c r="M58" s="21">
        <v>0.25</v>
      </c>
    </row>
    <row r="59" spans="1:13" x14ac:dyDescent="0.3">
      <c r="A59" s="121">
        <v>5</v>
      </c>
      <c r="B59" s="90" t="s">
        <v>48</v>
      </c>
      <c r="C59" s="2">
        <v>0.98</v>
      </c>
      <c r="D59" s="2"/>
      <c r="E59" s="36">
        <f t="shared" ref="E59:E61" si="7">D59/C59</f>
        <v>0</v>
      </c>
      <c r="F59" s="2">
        <v>0.05</v>
      </c>
      <c r="G59" s="122">
        <f t="shared" ref="G59:G61" si="8">MIN(E59,100%)*F59</f>
        <v>0</v>
      </c>
      <c r="I59" s="105"/>
      <c r="J59" s="118"/>
      <c r="K59" s="106"/>
      <c r="L59" s="107"/>
      <c r="M59" s="108"/>
    </row>
    <row r="60" spans="1:13" ht="15" thickBot="1" x14ac:dyDescent="0.35">
      <c r="A60" s="121">
        <v>6</v>
      </c>
      <c r="B60" s="1" t="s">
        <v>50</v>
      </c>
      <c r="C60" s="103">
        <v>0.9</v>
      </c>
      <c r="D60" s="2"/>
      <c r="E60" s="36">
        <f t="shared" si="7"/>
        <v>0</v>
      </c>
      <c r="F60" s="2">
        <v>0.05</v>
      </c>
      <c r="G60" s="122">
        <f t="shared" si="8"/>
        <v>0</v>
      </c>
      <c r="I60" s="11" t="s">
        <v>34</v>
      </c>
      <c r="J60" s="17"/>
      <c r="K60" s="10" t="s">
        <v>36</v>
      </c>
      <c r="L60" s="119">
        <f>G62</f>
        <v>0</v>
      </c>
      <c r="M60" s="108"/>
    </row>
    <row r="61" spans="1:13" ht="15" thickBot="1" x14ac:dyDescent="0.35">
      <c r="A61" s="120">
        <v>7</v>
      </c>
      <c r="B61" s="104" t="s">
        <v>49</v>
      </c>
      <c r="C61" s="103">
        <v>0.9</v>
      </c>
      <c r="D61" s="103"/>
      <c r="E61" s="36">
        <f t="shared" si="7"/>
        <v>0</v>
      </c>
      <c r="F61" s="103">
        <v>0.05</v>
      </c>
      <c r="G61" s="122">
        <f t="shared" si="8"/>
        <v>0</v>
      </c>
      <c r="I61" s="16" t="s">
        <v>35</v>
      </c>
      <c r="J61" s="31">
        <v>40000</v>
      </c>
      <c r="K61" s="30" t="s">
        <v>37</v>
      </c>
      <c r="L61" s="32">
        <f>IF(L60&lt;75%,0,J61*L60)</f>
        <v>0</v>
      </c>
      <c r="M61" s="108"/>
    </row>
    <row r="62" spans="1:13" ht="15" thickBot="1" x14ac:dyDescent="0.35">
      <c r="A62" s="33" t="s">
        <v>36</v>
      </c>
      <c r="B62" s="34"/>
      <c r="C62" s="34"/>
      <c r="D62" s="34"/>
      <c r="E62" s="34"/>
      <c r="F62" s="9">
        <f>SUM(F55:F61)</f>
        <v>1.0000000000000002</v>
      </c>
      <c r="G62" s="41">
        <f>SUM(G55:G58)</f>
        <v>0</v>
      </c>
      <c r="I62" s="105"/>
      <c r="J62" s="110"/>
      <c r="K62" s="111"/>
      <c r="L62" s="111"/>
    </row>
    <row r="63" spans="1:13" x14ac:dyDescent="0.3">
      <c r="A63" s="26"/>
      <c r="B63" s="26"/>
      <c r="C63" s="26"/>
      <c r="D63" s="26"/>
      <c r="E63" s="26"/>
      <c r="F63" s="27"/>
      <c r="G63" s="28"/>
      <c r="I63" s="105"/>
      <c r="J63" s="106"/>
      <c r="K63" s="112"/>
      <c r="L63" s="113"/>
    </row>
    <row r="64" spans="1:13" ht="15" thickBot="1" x14ac:dyDescent="0.35">
      <c r="B64" s="67" t="s">
        <v>12</v>
      </c>
      <c r="C64" s="68"/>
      <c r="D64" s="13"/>
      <c r="E64" s="13"/>
      <c r="F64" s="13"/>
      <c r="G64" s="13"/>
      <c r="I64" s="106"/>
      <c r="J64" s="106"/>
      <c r="K64" s="106"/>
      <c r="L64" s="111"/>
    </row>
    <row r="65" spans="1:13" x14ac:dyDescent="0.3">
      <c r="B65" s="71" t="s">
        <v>17</v>
      </c>
      <c r="C65" s="72" t="s">
        <v>17</v>
      </c>
      <c r="D65" s="72" t="s">
        <v>13</v>
      </c>
      <c r="E65" s="72" t="s">
        <v>14</v>
      </c>
      <c r="F65" s="72" t="s">
        <v>15</v>
      </c>
      <c r="G65" s="73" t="s">
        <v>16</v>
      </c>
      <c r="I65" s="106"/>
      <c r="J65" s="105"/>
      <c r="K65" s="109"/>
      <c r="L65" s="111"/>
    </row>
    <row r="66" spans="1:13" x14ac:dyDescent="0.3">
      <c r="B66" s="74" t="s">
        <v>18</v>
      </c>
      <c r="C66" s="43">
        <v>4000</v>
      </c>
      <c r="D66" s="43"/>
      <c r="E66" s="43"/>
      <c r="F66" s="43"/>
      <c r="G66" s="75"/>
    </row>
    <row r="67" spans="1:13" ht="15" thickBot="1" x14ac:dyDescent="0.35">
      <c r="B67" s="76" t="s">
        <v>19</v>
      </c>
      <c r="C67" s="77">
        <f>SUM(D67:G67)</f>
        <v>3500</v>
      </c>
      <c r="D67" s="77">
        <v>900</v>
      </c>
      <c r="E67" s="77">
        <v>600</v>
      </c>
      <c r="F67" s="77">
        <v>1000</v>
      </c>
      <c r="G67" s="78">
        <v>1000</v>
      </c>
    </row>
    <row r="68" spans="1:13" ht="15" thickBot="1" x14ac:dyDescent="0.35">
      <c r="B68" s="69" t="s">
        <v>20</v>
      </c>
      <c r="C68" s="70">
        <f>(C67/C66)*100</f>
        <v>87.5</v>
      </c>
      <c r="D68" s="14"/>
      <c r="E68" s="14"/>
      <c r="F68" s="14"/>
      <c r="G68" s="14"/>
    </row>
    <row r="69" spans="1:13" x14ac:dyDescent="0.3">
      <c r="B69" s="47" t="s">
        <v>8</v>
      </c>
      <c r="C69" s="48" t="s">
        <v>2</v>
      </c>
      <c r="D69" s="49" t="s">
        <v>3</v>
      </c>
      <c r="E69" s="50" t="s">
        <v>24</v>
      </c>
    </row>
    <row r="70" spans="1:13" ht="15" thickBot="1" x14ac:dyDescent="0.35">
      <c r="B70" s="51"/>
      <c r="C70" s="52">
        <v>20</v>
      </c>
      <c r="D70" s="53">
        <v>15</v>
      </c>
      <c r="E70" s="54">
        <f>(D70/C70)*100</f>
        <v>75</v>
      </c>
    </row>
    <row r="71" spans="1:13" x14ac:dyDescent="0.3">
      <c r="B71" s="79" t="s">
        <v>9</v>
      </c>
      <c r="C71" s="80" t="s">
        <v>2</v>
      </c>
      <c r="D71" s="81" t="s">
        <v>3</v>
      </c>
      <c r="E71" s="82" t="s">
        <v>24</v>
      </c>
    </row>
    <row r="72" spans="1:13" ht="15" thickBot="1" x14ac:dyDescent="0.35">
      <c r="B72" s="83"/>
      <c r="C72" s="77">
        <v>150</v>
      </c>
      <c r="D72" s="84">
        <v>100</v>
      </c>
      <c r="E72" s="85">
        <f>(D72/C72)*100</f>
        <v>66.666666666666657</v>
      </c>
    </row>
    <row r="73" spans="1:13" x14ac:dyDescent="0.3">
      <c r="B73" s="55" t="s">
        <v>10</v>
      </c>
      <c r="C73" s="56" t="s">
        <v>22</v>
      </c>
      <c r="D73" s="57" t="s">
        <v>23</v>
      </c>
      <c r="E73" s="58" t="s">
        <v>24</v>
      </c>
    </row>
    <row r="74" spans="1:13" x14ac:dyDescent="0.3">
      <c r="B74" s="59" t="s">
        <v>25</v>
      </c>
      <c r="C74" s="12">
        <v>5000000</v>
      </c>
      <c r="D74" s="35">
        <v>5000000</v>
      </c>
      <c r="E74" s="60">
        <f>(D74/C74)*100</f>
        <v>100</v>
      </c>
    </row>
    <row r="75" spans="1:13" ht="15" thickBot="1" x14ac:dyDescent="0.35">
      <c r="B75" s="61" t="s">
        <v>26</v>
      </c>
      <c r="C75" s="62">
        <v>7500000</v>
      </c>
      <c r="D75" s="62">
        <v>2500000</v>
      </c>
      <c r="E75" s="63">
        <f>(D75/C75)*100</f>
        <v>33.333333333333329</v>
      </c>
    </row>
    <row r="76" spans="1:13" ht="15" thickBot="1" x14ac:dyDescent="0.35">
      <c r="B76" s="141" t="s">
        <v>11</v>
      </c>
      <c r="C76" s="142">
        <f>SUM(C74:C75)</f>
        <v>12500000</v>
      </c>
      <c r="D76" s="142">
        <f>SUM(D74:D75)</f>
        <v>7500000</v>
      </c>
      <c r="E76" s="143">
        <f>(D76/C76)*100</f>
        <v>60</v>
      </c>
    </row>
    <row r="79" spans="1:13" ht="15" thickBot="1" x14ac:dyDescent="0.35">
      <c r="A79" s="66" t="s">
        <v>40</v>
      </c>
      <c r="B79" s="66"/>
    </row>
    <row r="80" spans="1:13" ht="15" thickBot="1" x14ac:dyDescent="0.35">
      <c r="A80" s="86" t="s">
        <v>0</v>
      </c>
      <c r="B80" s="87" t="s">
        <v>1</v>
      </c>
      <c r="C80" s="87" t="s">
        <v>2</v>
      </c>
      <c r="D80" s="87" t="s">
        <v>3</v>
      </c>
      <c r="E80" s="87" t="s">
        <v>4</v>
      </c>
      <c r="F80" s="87" t="s">
        <v>5</v>
      </c>
      <c r="G80" s="88" t="s">
        <v>6</v>
      </c>
      <c r="I80" s="11" t="s">
        <v>27</v>
      </c>
      <c r="J80" s="11"/>
      <c r="K80" s="17"/>
      <c r="L80" s="18" t="s">
        <v>28</v>
      </c>
      <c r="M80" s="19" t="s">
        <v>38</v>
      </c>
    </row>
    <row r="81" spans="1:13" x14ac:dyDescent="0.3">
      <c r="A81" s="91">
        <v>1</v>
      </c>
      <c r="B81" s="3" t="s">
        <v>41</v>
      </c>
      <c r="C81" s="4">
        <v>1</v>
      </c>
      <c r="D81" s="4"/>
      <c r="E81" s="92">
        <f>MIN(D81/C81,100%)</f>
        <v>0</v>
      </c>
      <c r="F81" s="4">
        <v>0.3</v>
      </c>
      <c r="G81" s="93">
        <f>E81*F81</f>
        <v>0</v>
      </c>
      <c r="I81" s="17"/>
      <c r="J81" s="17"/>
      <c r="K81" s="17"/>
      <c r="L81" s="64"/>
      <c r="M81" s="65"/>
    </row>
    <row r="82" spans="1:13" x14ac:dyDescent="0.3">
      <c r="A82" s="94">
        <v>2</v>
      </c>
      <c r="B82" s="1" t="s">
        <v>42</v>
      </c>
      <c r="C82" s="2">
        <v>0.95</v>
      </c>
      <c r="D82" s="1"/>
      <c r="E82" s="89">
        <f t="shared" ref="E82:E87" si="9">MIN(D82/C82,100%)</f>
        <v>0</v>
      </c>
      <c r="F82" s="2">
        <v>0.2</v>
      </c>
      <c r="G82" s="95">
        <f t="shared" ref="G82:G87" si="10">E82*F82</f>
        <v>0</v>
      </c>
      <c r="I82" s="22" t="s">
        <v>29</v>
      </c>
      <c r="J82" s="22"/>
      <c r="K82" s="17"/>
      <c r="L82" s="20" t="s">
        <v>39</v>
      </c>
      <c r="M82" s="21">
        <v>0</v>
      </c>
    </row>
    <row r="83" spans="1:13" x14ac:dyDescent="0.3">
      <c r="A83" s="94">
        <v>3</v>
      </c>
      <c r="B83" s="1" t="s">
        <v>43</v>
      </c>
      <c r="C83" s="2">
        <v>0.95</v>
      </c>
      <c r="D83" s="1"/>
      <c r="E83" s="89">
        <f t="shared" si="9"/>
        <v>0</v>
      </c>
      <c r="F83" s="2">
        <v>0.15</v>
      </c>
      <c r="G83" s="95">
        <f t="shared" si="10"/>
        <v>0</v>
      </c>
      <c r="I83" s="22" t="s">
        <v>31</v>
      </c>
      <c r="J83" s="22"/>
      <c r="K83" s="17"/>
      <c r="L83" s="23" t="s">
        <v>30</v>
      </c>
      <c r="M83" s="21">
        <v>0.2</v>
      </c>
    </row>
    <row r="84" spans="1:13" x14ac:dyDescent="0.3">
      <c r="A84" s="94">
        <v>4</v>
      </c>
      <c r="B84" s="1" t="s">
        <v>44</v>
      </c>
      <c r="C84" s="2">
        <v>1</v>
      </c>
      <c r="D84" s="1"/>
      <c r="E84" s="89">
        <f t="shared" si="9"/>
        <v>0</v>
      </c>
      <c r="F84" s="2">
        <v>0.1</v>
      </c>
      <c r="G84" s="95">
        <f t="shared" si="10"/>
        <v>0</v>
      </c>
      <c r="I84" s="22" t="s">
        <v>33</v>
      </c>
      <c r="J84" s="22"/>
      <c r="K84" s="17"/>
      <c r="L84" s="23" t="s">
        <v>32</v>
      </c>
      <c r="M84" s="21">
        <v>0.25</v>
      </c>
    </row>
    <row r="85" spans="1:13" x14ac:dyDescent="0.3">
      <c r="A85" s="94">
        <v>5</v>
      </c>
      <c r="B85" s="90" t="s">
        <v>45</v>
      </c>
      <c r="C85" s="2">
        <v>0.98</v>
      </c>
      <c r="D85" s="1"/>
      <c r="E85" s="89">
        <f t="shared" si="9"/>
        <v>0</v>
      </c>
      <c r="F85" s="2">
        <v>0.1</v>
      </c>
      <c r="G85" s="95">
        <f t="shared" si="10"/>
        <v>0</v>
      </c>
      <c r="I85" s="105"/>
      <c r="J85" s="118"/>
      <c r="K85" s="106"/>
      <c r="L85" s="107"/>
      <c r="M85" s="108"/>
    </row>
    <row r="86" spans="1:13" x14ac:dyDescent="0.3">
      <c r="A86" s="94">
        <v>6</v>
      </c>
      <c r="B86" s="90" t="s">
        <v>46</v>
      </c>
      <c r="C86" s="2">
        <v>0.9</v>
      </c>
      <c r="D86" s="1"/>
      <c r="E86" s="89">
        <f t="shared" si="9"/>
        <v>0</v>
      </c>
      <c r="F86" s="2">
        <v>0.1</v>
      </c>
      <c r="G86" s="95">
        <f t="shared" si="10"/>
        <v>0</v>
      </c>
      <c r="I86" s="11" t="s">
        <v>34</v>
      </c>
      <c r="J86" s="17"/>
      <c r="K86" s="10" t="s">
        <v>36</v>
      </c>
      <c r="L86" s="119">
        <f>G88</f>
        <v>0</v>
      </c>
      <c r="M86" s="108"/>
    </row>
    <row r="87" spans="1:13" ht="15" thickBot="1" x14ac:dyDescent="0.35">
      <c r="A87" s="96">
        <v>7</v>
      </c>
      <c r="B87" s="97" t="s">
        <v>47</v>
      </c>
      <c r="C87" s="6">
        <v>1</v>
      </c>
      <c r="D87" s="5"/>
      <c r="E87" s="98">
        <f t="shared" si="9"/>
        <v>0</v>
      </c>
      <c r="F87" s="6">
        <v>0.05</v>
      </c>
      <c r="G87" s="99">
        <f t="shared" si="10"/>
        <v>0</v>
      </c>
      <c r="I87" s="16" t="s">
        <v>35</v>
      </c>
      <c r="J87" s="31">
        <v>40000</v>
      </c>
      <c r="K87" s="30" t="s">
        <v>37</v>
      </c>
      <c r="L87" s="32">
        <f>IF(L86&lt;75%,0,J87*L86)</f>
        <v>0</v>
      </c>
      <c r="M87" s="108"/>
    </row>
    <row r="88" spans="1:13" ht="15" thickBot="1" x14ac:dyDescent="0.35">
      <c r="A88" s="33" t="s">
        <v>36</v>
      </c>
      <c r="B88" s="34"/>
      <c r="C88" s="34"/>
      <c r="D88" s="34"/>
      <c r="E88" s="34"/>
      <c r="F88" s="100">
        <f>SUM(F81:F87)</f>
        <v>1</v>
      </c>
      <c r="G88" s="101">
        <f>SUM(G81:G87)</f>
        <v>0</v>
      </c>
    </row>
    <row r="90" spans="1:13" ht="15" thickBot="1" x14ac:dyDescent="0.35">
      <c r="B90" s="67" t="s">
        <v>51</v>
      </c>
      <c r="C90" s="68"/>
      <c r="D90" s="13"/>
      <c r="E90" s="13"/>
      <c r="F90" s="13"/>
      <c r="G90" s="13"/>
    </row>
    <row r="91" spans="1:13" x14ac:dyDescent="0.3">
      <c r="B91" s="71" t="s">
        <v>17</v>
      </c>
      <c r="C91" s="72" t="s">
        <v>17</v>
      </c>
      <c r="D91" s="72" t="s">
        <v>13</v>
      </c>
      <c r="E91" s="72" t="s">
        <v>14</v>
      </c>
      <c r="F91" s="72" t="s">
        <v>15</v>
      </c>
      <c r="G91" s="73" t="s">
        <v>16</v>
      </c>
    </row>
    <row r="92" spans="1:13" x14ac:dyDescent="0.3">
      <c r="B92" s="74" t="s">
        <v>52</v>
      </c>
      <c r="C92" s="43">
        <v>4000</v>
      </c>
      <c r="D92" s="43"/>
      <c r="E92" s="43"/>
      <c r="F92" s="43"/>
      <c r="G92" s="75"/>
    </row>
    <row r="93" spans="1:13" ht="15" thickBot="1" x14ac:dyDescent="0.35">
      <c r="B93" s="76" t="s">
        <v>19</v>
      </c>
      <c r="C93" s="77">
        <f>SUM(D93:G93)</f>
        <v>3500</v>
      </c>
      <c r="D93" s="77">
        <v>900</v>
      </c>
      <c r="E93" s="77">
        <v>600</v>
      </c>
      <c r="F93" s="77">
        <v>1000</v>
      </c>
      <c r="G93" s="78">
        <v>1000</v>
      </c>
    </row>
    <row r="94" spans="1:13" ht="15" thickBot="1" x14ac:dyDescent="0.35">
      <c r="B94" s="69" t="s">
        <v>20</v>
      </c>
      <c r="C94" s="70">
        <f>(C93/C92)*100</f>
        <v>87.5</v>
      </c>
      <c r="D94" s="14"/>
      <c r="E94" s="14"/>
      <c r="F94" s="14"/>
      <c r="G94" s="14"/>
    </row>
    <row r="95" spans="1:13" x14ac:dyDescent="0.3">
      <c r="B95" s="47" t="s">
        <v>42</v>
      </c>
      <c r="C95" s="48" t="s">
        <v>2</v>
      </c>
      <c r="D95" s="49" t="s">
        <v>3</v>
      </c>
      <c r="E95" s="50" t="s">
        <v>24</v>
      </c>
    </row>
    <row r="96" spans="1:13" ht="15" thickBot="1" x14ac:dyDescent="0.35">
      <c r="B96" s="51"/>
      <c r="C96" s="52">
        <v>20</v>
      </c>
      <c r="D96" s="53">
        <v>15</v>
      </c>
      <c r="E96" s="54">
        <f>(D96/C96)*100</f>
        <v>75</v>
      </c>
    </row>
    <row r="97" spans="1:13" x14ac:dyDescent="0.3">
      <c r="B97" s="79" t="s">
        <v>43</v>
      </c>
      <c r="C97" s="80" t="s">
        <v>2</v>
      </c>
      <c r="D97" s="81" t="s">
        <v>3</v>
      </c>
      <c r="E97" s="82" t="s">
        <v>24</v>
      </c>
    </row>
    <row r="98" spans="1:13" ht="15" thickBot="1" x14ac:dyDescent="0.35">
      <c r="B98" s="83"/>
      <c r="C98" s="77">
        <v>150</v>
      </c>
      <c r="D98" s="84">
        <v>100</v>
      </c>
      <c r="E98" s="85">
        <f>(D98/C98)*100</f>
        <v>66.666666666666657</v>
      </c>
    </row>
    <row r="99" spans="1:13" x14ac:dyDescent="0.3">
      <c r="B99" s="55" t="s">
        <v>53</v>
      </c>
      <c r="C99" s="56" t="s">
        <v>22</v>
      </c>
      <c r="D99" s="57" t="s">
        <v>23</v>
      </c>
      <c r="E99" s="58" t="s">
        <v>24</v>
      </c>
    </row>
    <row r="100" spans="1:13" x14ac:dyDescent="0.3">
      <c r="B100" s="59" t="s">
        <v>25</v>
      </c>
      <c r="C100" s="12">
        <v>5000000</v>
      </c>
      <c r="D100" s="35">
        <v>5000000</v>
      </c>
      <c r="E100" s="60">
        <f>(D100/C100)*100</f>
        <v>100</v>
      </c>
    </row>
    <row r="101" spans="1:13" ht="15" thickBot="1" x14ac:dyDescent="0.35">
      <c r="B101" s="61" t="s">
        <v>26</v>
      </c>
      <c r="C101" s="62">
        <v>7500000</v>
      </c>
      <c r="D101" s="62">
        <v>2500000</v>
      </c>
      <c r="E101" s="63">
        <f>(D101/C101)*100</f>
        <v>33.333333333333329</v>
      </c>
    </row>
    <row r="102" spans="1:13" ht="15" thickBot="1" x14ac:dyDescent="0.35">
      <c r="B102" s="141" t="s">
        <v>11</v>
      </c>
      <c r="C102" s="142">
        <f>SUM(C100:C101)</f>
        <v>12500000</v>
      </c>
      <c r="D102" s="142">
        <f>SUM(D100:D101)</f>
        <v>7500000</v>
      </c>
      <c r="E102" s="143">
        <f>(D102/C102)*100</f>
        <v>60</v>
      </c>
    </row>
    <row r="105" spans="1:13" ht="15" thickBot="1" x14ac:dyDescent="0.35">
      <c r="A105" s="66" t="s">
        <v>54</v>
      </c>
      <c r="B105" s="66"/>
    </row>
    <row r="106" spans="1:13" ht="15" thickBot="1" x14ac:dyDescent="0.35">
      <c r="A106" s="86" t="s">
        <v>0</v>
      </c>
      <c r="B106" s="87" t="s">
        <v>1</v>
      </c>
      <c r="C106" s="87" t="s">
        <v>2</v>
      </c>
      <c r="D106" s="87" t="s">
        <v>3</v>
      </c>
      <c r="E106" s="87" t="s">
        <v>4</v>
      </c>
      <c r="F106" s="87" t="s">
        <v>5</v>
      </c>
      <c r="G106" s="88" t="s">
        <v>6</v>
      </c>
      <c r="I106" s="11" t="s">
        <v>27</v>
      </c>
      <c r="J106" s="11"/>
      <c r="K106" s="17"/>
      <c r="L106" s="18" t="s">
        <v>28</v>
      </c>
      <c r="M106" s="19" t="s">
        <v>38</v>
      </c>
    </row>
    <row r="107" spans="1:13" x14ac:dyDescent="0.3">
      <c r="A107" s="91">
        <v>1</v>
      </c>
      <c r="B107" s="3" t="s">
        <v>56</v>
      </c>
      <c r="C107" s="4">
        <v>0.98</v>
      </c>
      <c r="D107" s="4"/>
      <c r="E107" s="92">
        <f>MIN(D107/C107,100%)</f>
        <v>0</v>
      </c>
      <c r="F107" s="4">
        <v>0.2</v>
      </c>
      <c r="G107" s="93">
        <f>E107*F107</f>
        <v>0</v>
      </c>
      <c r="I107" s="17"/>
      <c r="J107" s="17"/>
      <c r="K107" s="17"/>
      <c r="L107" s="64"/>
      <c r="M107" s="65"/>
    </row>
    <row r="108" spans="1:13" x14ac:dyDescent="0.3">
      <c r="A108" s="94">
        <v>2</v>
      </c>
      <c r="B108" s="1" t="s">
        <v>55</v>
      </c>
      <c r="C108" s="2">
        <v>0.95</v>
      </c>
      <c r="D108" s="1"/>
      <c r="E108" s="89">
        <f t="shared" ref="E108:E114" si="11">MIN(D108/C108,100%)</f>
        <v>0</v>
      </c>
      <c r="F108" s="2">
        <v>0.05</v>
      </c>
      <c r="G108" s="95">
        <f t="shared" ref="G108:G114" si="12">E108*F108</f>
        <v>0</v>
      </c>
      <c r="I108" s="22" t="s">
        <v>29</v>
      </c>
      <c r="J108" s="22"/>
      <c r="K108" s="17"/>
      <c r="L108" s="20" t="s">
        <v>39</v>
      </c>
      <c r="M108" s="21">
        <v>0</v>
      </c>
    </row>
    <row r="109" spans="1:13" x14ac:dyDescent="0.3">
      <c r="A109" s="1">
        <v>3</v>
      </c>
      <c r="B109" s="132" t="s">
        <v>49</v>
      </c>
      <c r="C109" s="2">
        <v>0.95</v>
      </c>
      <c r="D109" s="1"/>
      <c r="E109" s="89">
        <f t="shared" si="11"/>
        <v>0</v>
      </c>
      <c r="F109" s="2">
        <v>0.2</v>
      </c>
      <c r="G109" s="89">
        <f t="shared" si="12"/>
        <v>0</v>
      </c>
      <c r="I109" s="22" t="s">
        <v>31</v>
      </c>
      <c r="J109" s="22"/>
      <c r="K109" s="17"/>
      <c r="L109" s="23" t="s">
        <v>30</v>
      </c>
      <c r="M109" s="21">
        <v>0.2</v>
      </c>
    </row>
    <row r="110" spans="1:13" x14ac:dyDescent="0.3">
      <c r="A110" s="1">
        <v>4</v>
      </c>
      <c r="B110" s="1" t="s">
        <v>57</v>
      </c>
      <c r="C110" s="2">
        <v>0.9</v>
      </c>
      <c r="D110" s="1"/>
      <c r="E110" s="89">
        <f t="shared" si="11"/>
        <v>0</v>
      </c>
      <c r="F110" s="2">
        <v>0.1</v>
      </c>
      <c r="G110" s="89">
        <f t="shared" si="12"/>
        <v>0</v>
      </c>
      <c r="I110" s="22" t="s">
        <v>33</v>
      </c>
      <c r="J110" s="22"/>
      <c r="K110" s="17"/>
      <c r="L110" s="23" t="s">
        <v>32</v>
      </c>
      <c r="M110" s="21">
        <v>0.25</v>
      </c>
    </row>
    <row r="111" spans="1:13" x14ac:dyDescent="0.3">
      <c r="A111" s="1">
        <v>5</v>
      </c>
      <c r="B111" s="90" t="s">
        <v>58</v>
      </c>
      <c r="C111" s="2">
        <v>1</v>
      </c>
      <c r="D111" s="1"/>
      <c r="E111" s="89">
        <f t="shared" si="11"/>
        <v>0</v>
      </c>
      <c r="F111" s="2">
        <v>0.2</v>
      </c>
      <c r="G111" s="89">
        <f t="shared" si="12"/>
        <v>0</v>
      </c>
      <c r="I111" s="105"/>
      <c r="J111" s="118"/>
      <c r="K111" s="106"/>
      <c r="L111" s="107"/>
      <c r="M111" s="108"/>
    </row>
    <row r="112" spans="1:13" x14ac:dyDescent="0.3">
      <c r="A112" s="1">
        <v>6</v>
      </c>
      <c r="B112" s="90" t="s">
        <v>59</v>
      </c>
      <c r="C112" s="2">
        <v>1</v>
      </c>
      <c r="D112" s="1"/>
      <c r="E112" s="89">
        <f t="shared" si="11"/>
        <v>0</v>
      </c>
      <c r="F112" s="2">
        <v>0.15</v>
      </c>
      <c r="G112" s="89">
        <f t="shared" si="12"/>
        <v>0</v>
      </c>
      <c r="I112" s="11" t="s">
        <v>34</v>
      </c>
      <c r="J112" s="17"/>
      <c r="K112" s="10" t="s">
        <v>36</v>
      </c>
      <c r="L112" s="119">
        <f>G115</f>
        <v>0</v>
      </c>
      <c r="M112" s="108"/>
    </row>
    <row r="113" spans="1:13" x14ac:dyDescent="0.3">
      <c r="A113" s="1">
        <v>7</v>
      </c>
      <c r="B113" s="90" t="s">
        <v>61</v>
      </c>
      <c r="C113" s="2">
        <v>1</v>
      </c>
      <c r="D113" s="1"/>
      <c r="E113" s="89">
        <f t="shared" si="11"/>
        <v>0</v>
      </c>
      <c r="F113" s="2">
        <v>0.05</v>
      </c>
      <c r="G113" s="89">
        <f t="shared" si="12"/>
        <v>0</v>
      </c>
      <c r="I113" s="16" t="s">
        <v>35</v>
      </c>
      <c r="J113" s="31">
        <v>40000</v>
      </c>
      <c r="K113" s="30" t="s">
        <v>37</v>
      </c>
      <c r="L113" s="32">
        <f>IF(L112&lt;75%,0,J113*L112)</f>
        <v>0</v>
      </c>
      <c r="M113" s="108"/>
    </row>
    <row r="114" spans="1:13" ht="15" thickBot="1" x14ac:dyDescent="0.35">
      <c r="A114" s="128">
        <v>8</v>
      </c>
      <c r="B114" s="129" t="s">
        <v>60</v>
      </c>
      <c r="C114" s="103">
        <v>1</v>
      </c>
      <c r="D114" s="102"/>
      <c r="E114" s="130">
        <f t="shared" si="11"/>
        <v>0</v>
      </c>
      <c r="F114" s="103">
        <v>0.05</v>
      </c>
      <c r="G114" s="131">
        <f t="shared" si="12"/>
        <v>0</v>
      </c>
      <c r="I114" s="123"/>
      <c r="J114" s="124"/>
      <c r="K114" s="125"/>
      <c r="L114" s="126"/>
      <c r="M114" s="108"/>
    </row>
    <row r="115" spans="1:13" ht="15" thickBot="1" x14ac:dyDescent="0.35">
      <c r="A115" s="33" t="s">
        <v>36</v>
      </c>
      <c r="B115" s="34"/>
      <c r="C115" s="34"/>
      <c r="D115" s="34"/>
      <c r="E115" s="34"/>
      <c r="F115" s="133">
        <f>SUM(F107:F114)</f>
        <v>1</v>
      </c>
      <c r="G115" s="101">
        <f>SUM(G107:G114)</f>
        <v>0</v>
      </c>
      <c r="I115" s="123"/>
      <c r="J115" s="124"/>
      <c r="K115" s="125"/>
      <c r="L115" s="126"/>
    </row>
    <row r="116" spans="1:13" x14ac:dyDescent="0.3">
      <c r="I116" s="127"/>
      <c r="J116" s="127"/>
      <c r="K116" s="127"/>
      <c r="L116" s="127"/>
    </row>
    <row r="117" spans="1:13" x14ac:dyDescent="0.3">
      <c r="I117" s="127"/>
      <c r="J117" s="127"/>
      <c r="K117" s="127"/>
      <c r="L117" s="127"/>
    </row>
    <row r="118" spans="1:13" ht="15" thickBot="1" x14ac:dyDescent="0.35">
      <c r="A118" s="66" t="s">
        <v>54</v>
      </c>
      <c r="B118" s="66"/>
    </row>
    <row r="119" spans="1:13" ht="15" thickBot="1" x14ac:dyDescent="0.35">
      <c r="A119" s="86" t="s">
        <v>0</v>
      </c>
      <c r="B119" s="87" t="s">
        <v>1</v>
      </c>
      <c r="C119" s="87" t="s">
        <v>2</v>
      </c>
      <c r="D119" s="87" t="s">
        <v>3</v>
      </c>
      <c r="E119" s="87" t="s">
        <v>4</v>
      </c>
      <c r="F119" s="87" t="s">
        <v>5</v>
      </c>
      <c r="G119" s="88" t="s">
        <v>6</v>
      </c>
      <c r="I119" s="11" t="s">
        <v>27</v>
      </c>
      <c r="J119" s="11"/>
      <c r="K119" s="17"/>
      <c r="L119" s="18" t="s">
        <v>28</v>
      </c>
      <c r="M119" s="19" t="s">
        <v>38</v>
      </c>
    </row>
    <row r="120" spans="1:13" x14ac:dyDescent="0.3">
      <c r="A120" s="91">
        <v>1</v>
      </c>
      <c r="B120" s="3" t="s">
        <v>56</v>
      </c>
      <c r="C120" s="4">
        <v>0.98</v>
      </c>
      <c r="D120" s="4"/>
      <c r="E120" s="92">
        <f>MIN(D120/C120,100%)</f>
        <v>0</v>
      </c>
      <c r="F120" s="4">
        <v>0.2</v>
      </c>
      <c r="G120" s="93">
        <f>E120*F120</f>
        <v>0</v>
      </c>
      <c r="I120" s="17"/>
      <c r="J120" s="17"/>
      <c r="K120" s="17"/>
      <c r="L120" s="64"/>
      <c r="M120" s="65"/>
    </row>
    <row r="121" spans="1:13" x14ac:dyDescent="0.3">
      <c r="A121" s="94">
        <v>2</v>
      </c>
      <c r="B121" s="1" t="s">
        <v>55</v>
      </c>
      <c r="C121" s="2">
        <v>0.95</v>
      </c>
      <c r="D121" s="1"/>
      <c r="E121" s="89">
        <f t="shared" ref="E121:E127" si="13">MIN(D121/C121,100%)</f>
        <v>0</v>
      </c>
      <c r="F121" s="2">
        <v>0.05</v>
      </c>
      <c r="G121" s="95">
        <f t="shared" ref="G121:G127" si="14">E121*F121</f>
        <v>0</v>
      </c>
      <c r="I121" s="22" t="s">
        <v>29</v>
      </c>
      <c r="J121" s="22"/>
      <c r="K121" s="17"/>
      <c r="L121" s="20" t="s">
        <v>39</v>
      </c>
      <c r="M121" s="21">
        <v>0</v>
      </c>
    </row>
    <row r="122" spans="1:13" x14ac:dyDescent="0.3">
      <c r="A122" s="1">
        <v>3</v>
      </c>
      <c r="B122" s="132" t="s">
        <v>49</v>
      </c>
      <c r="C122" s="2">
        <v>0.95</v>
      </c>
      <c r="D122" s="1"/>
      <c r="E122" s="89">
        <f t="shared" si="13"/>
        <v>0</v>
      </c>
      <c r="F122" s="2">
        <v>0.2</v>
      </c>
      <c r="G122" s="89">
        <f t="shared" si="14"/>
        <v>0</v>
      </c>
      <c r="I122" s="22" t="s">
        <v>31</v>
      </c>
      <c r="J122" s="22"/>
      <c r="K122" s="17"/>
      <c r="L122" s="23" t="s">
        <v>30</v>
      </c>
      <c r="M122" s="21">
        <v>0.2</v>
      </c>
    </row>
    <row r="123" spans="1:13" x14ac:dyDescent="0.3">
      <c r="A123" s="1">
        <v>4</v>
      </c>
      <c r="B123" s="1" t="s">
        <v>57</v>
      </c>
      <c r="C123" s="2">
        <v>0.9</v>
      </c>
      <c r="D123" s="1"/>
      <c r="E123" s="89">
        <f t="shared" si="13"/>
        <v>0</v>
      </c>
      <c r="F123" s="2">
        <v>0.1</v>
      </c>
      <c r="G123" s="89">
        <f t="shared" si="14"/>
        <v>0</v>
      </c>
      <c r="I123" s="22" t="s">
        <v>33</v>
      </c>
      <c r="J123" s="22"/>
      <c r="K123" s="17"/>
      <c r="L123" s="23" t="s">
        <v>32</v>
      </c>
      <c r="M123" s="21">
        <v>0.25</v>
      </c>
    </row>
    <row r="124" spans="1:13" x14ac:dyDescent="0.3">
      <c r="A124" s="1">
        <v>5</v>
      </c>
      <c r="B124" s="90" t="s">
        <v>58</v>
      </c>
      <c r="C124" s="2">
        <v>1</v>
      </c>
      <c r="D124" s="1"/>
      <c r="E124" s="89">
        <f t="shared" si="13"/>
        <v>0</v>
      </c>
      <c r="F124" s="2">
        <v>0.2</v>
      </c>
      <c r="G124" s="89">
        <f t="shared" si="14"/>
        <v>0</v>
      </c>
      <c r="I124" s="105"/>
      <c r="J124" s="118"/>
      <c r="K124" s="106"/>
      <c r="L124" s="107"/>
      <c r="M124" s="108"/>
    </row>
    <row r="125" spans="1:13" x14ac:dyDescent="0.3">
      <c r="A125" s="1">
        <v>6</v>
      </c>
      <c r="B125" s="90" t="s">
        <v>59</v>
      </c>
      <c r="C125" s="2">
        <v>1</v>
      </c>
      <c r="D125" s="1"/>
      <c r="E125" s="89">
        <f t="shared" si="13"/>
        <v>0</v>
      </c>
      <c r="F125" s="2">
        <v>0.15</v>
      </c>
      <c r="G125" s="89">
        <f t="shared" si="14"/>
        <v>0</v>
      </c>
      <c r="I125" s="11" t="s">
        <v>34</v>
      </c>
      <c r="J125" s="17"/>
      <c r="K125" s="10" t="s">
        <v>36</v>
      </c>
      <c r="L125" s="119">
        <f>G128</f>
        <v>0</v>
      </c>
      <c r="M125" s="108"/>
    </row>
    <row r="126" spans="1:13" x14ac:dyDescent="0.3">
      <c r="A126" s="1">
        <v>7</v>
      </c>
      <c r="B126" s="90" t="s">
        <v>61</v>
      </c>
      <c r="C126" s="2">
        <v>1</v>
      </c>
      <c r="D126" s="1"/>
      <c r="E126" s="89">
        <f t="shared" si="13"/>
        <v>0</v>
      </c>
      <c r="F126" s="2">
        <v>0.05</v>
      </c>
      <c r="G126" s="89">
        <f t="shared" si="14"/>
        <v>0</v>
      </c>
      <c r="I126" s="16" t="s">
        <v>35</v>
      </c>
      <c r="J126" s="31">
        <v>40000</v>
      </c>
      <c r="K126" s="30" t="s">
        <v>37</v>
      </c>
      <c r="L126" s="32">
        <f>IF(L125&lt;75%,0,J126*L125)</f>
        <v>0</v>
      </c>
      <c r="M126" s="108"/>
    </row>
    <row r="127" spans="1:13" ht="15" thickBot="1" x14ac:dyDescent="0.35">
      <c r="A127" s="128">
        <v>8</v>
      </c>
      <c r="B127" s="129" t="s">
        <v>60</v>
      </c>
      <c r="C127" s="103">
        <v>1</v>
      </c>
      <c r="D127" s="102"/>
      <c r="E127" s="130">
        <f t="shared" si="13"/>
        <v>0</v>
      </c>
      <c r="F127" s="103">
        <v>0.05</v>
      </c>
      <c r="G127" s="131">
        <f t="shared" si="14"/>
        <v>0</v>
      </c>
      <c r="I127" s="123"/>
      <c r="J127" s="124"/>
      <c r="K127" s="125"/>
      <c r="L127" s="126"/>
      <c r="M127" s="108"/>
    </row>
    <row r="128" spans="1:13" ht="15" thickBot="1" x14ac:dyDescent="0.35">
      <c r="A128" s="33" t="s">
        <v>36</v>
      </c>
      <c r="B128" s="34"/>
      <c r="C128" s="34"/>
      <c r="D128" s="34"/>
      <c r="E128" s="34"/>
      <c r="F128" s="133">
        <f>SUM(F120:F127)</f>
        <v>1</v>
      </c>
      <c r="G128" s="101">
        <f>SUM(G120:G127)</f>
        <v>0</v>
      </c>
      <c r="I128" s="123"/>
      <c r="J128" s="124"/>
      <c r="K128" s="125"/>
      <c r="L128" s="126"/>
    </row>
    <row r="129" spans="1:13" s="29" customFormat="1" x14ac:dyDescent="0.3">
      <c r="A129" s="134"/>
      <c r="B129" s="135"/>
      <c r="C129" s="26"/>
      <c r="D129" s="26"/>
      <c r="E129" s="26"/>
      <c r="F129" s="136"/>
      <c r="G129" s="137"/>
      <c r="I129" s="114"/>
      <c r="J129" s="115"/>
      <c r="K129" s="116"/>
      <c r="L129" s="117"/>
    </row>
    <row r="130" spans="1:13" s="29" customFormat="1" x14ac:dyDescent="0.3">
      <c r="A130" s="134"/>
      <c r="B130" s="135"/>
      <c r="C130" s="26"/>
      <c r="D130" s="26"/>
      <c r="E130" s="26"/>
      <c r="F130" s="136"/>
      <c r="G130" s="137"/>
      <c r="I130" s="114"/>
      <c r="J130" s="115"/>
      <c r="K130" s="116"/>
      <c r="L130" s="117"/>
    </row>
    <row r="131" spans="1:13" ht="15" thickBot="1" x14ac:dyDescent="0.35">
      <c r="A131" s="66" t="s">
        <v>62</v>
      </c>
      <c r="B131" s="66"/>
    </row>
    <row r="132" spans="1:13" ht="15" thickBot="1" x14ac:dyDescent="0.35">
      <c r="A132" s="86" t="s">
        <v>0</v>
      </c>
      <c r="B132" s="87" t="s">
        <v>1</v>
      </c>
      <c r="C132" s="87" t="s">
        <v>2</v>
      </c>
      <c r="D132" s="87" t="s">
        <v>3</v>
      </c>
      <c r="E132" s="87" t="s">
        <v>4</v>
      </c>
      <c r="F132" s="87" t="s">
        <v>5</v>
      </c>
      <c r="G132" s="88" t="s">
        <v>6</v>
      </c>
      <c r="I132" s="11" t="s">
        <v>27</v>
      </c>
      <c r="J132" s="11"/>
      <c r="K132" s="17"/>
      <c r="L132" s="18" t="s">
        <v>28</v>
      </c>
      <c r="M132" s="19" t="s">
        <v>38</v>
      </c>
    </row>
    <row r="133" spans="1:13" x14ac:dyDescent="0.3">
      <c r="A133" s="91">
        <v>1</v>
      </c>
      <c r="B133" s="3" t="s">
        <v>56</v>
      </c>
      <c r="C133" s="4">
        <v>0.98</v>
      </c>
      <c r="D133" s="4"/>
      <c r="E133" s="92">
        <f>MIN(D133/C133,100%)</f>
        <v>0</v>
      </c>
      <c r="F133" s="4">
        <v>0.2</v>
      </c>
      <c r="G133" s="93">
        <f>E133*F133</f>
        <v>0</v>
      </c>
      <c r="I133" s="17"/>
      <c r="J133" s="17"/>
      <c r="K133" s="17"/>
      <c r="L133" s="64"/>
      <c r="M133" s="65"/>
    </row>
    <row r="134" spans="1:13" x14ac:dyDescent="0.3">
      <c r="A134" s="94">
        <v>2</v>
      </c>
      <c r="B134" s="1" t="s">
        <v>55</v>
      </c>
      <c r="C134" s="2">
        <v>0.95</v>
      </c>
      <c r="D134" s="1"/>
      <c r="E134" s="89">
        <f t="shared" ref="E134:E139" si="15">MIN(D134/C134,100%)</f>
        <v>0</v>
      </c>
      <c r="F134" s="2">
        <v>0.05</v>
      </c>
      <c r="G134" s="95">
        <f t="shared" ref="G134:G139" si="16">E134*F134</f>
        <v>0</v>
      </c>
      <c r="I134" s="22" t="s">
        <v>29</v>
      </c>
      <c r="J134" s="22"/>
      <c r="K134" s="17"/>
      <c r="L134" s="20" t="s">
        <v>39</v>
      </c>
      <c r="M134" s="21">
        <v>0</v>
      </c>
    </row>
    <row r="135" spans="1:13" x14ac:dyDescent="0.3">
      <c r="A135" s="94">
        <v>3</v>
      </c>
      <c r="B135" s="132" t="s">
        <v>49</v>
      </c>
      <c r="C135" s="2">
        <v>0.95</v>
      </c>
      <c r="D135" s="1"/>
      <c r="E135" s="89">
        <f t="shared" si="15"/>
        <v>0</v>
      </c>
      <c r="F135" s="2">
        <v>0.2</v>
      </c>
      <c r="G135" s="95">
        <f t="shared" si="16"/>
        <v>0</v>
      </c>
      <c r="I135" s="22" t="s">
        <v>31</v>
      </c>
      <c r="J135" s="22"/>
      <c r="K135" s="17"/>
      <c r="L135" s="23" t="s">
        <v>30</v>
      </c>
      <c r="M135" s="21">
        <v>0.2</v>
      </c>
    </row>
    <row r="136" spans="1:13" x14ac:dyDescent="0.3">
      <c r="A136" s="94">
        <v>4</v>
      </c>
      <c r="B136" s="1" t="s">
        <v>57</v>
      </c>
      <c r="C136" s="2">
        <v>1</v>
      </c>
      <c r="D136" s="1"/>
      <c r="E136" s="89">
        <f t="shared" si="15"/>
        <v>0</v>
      </c>
      <c r="F136" s="2">
        <v>0.15</v>
      </c>
      <c r="G136" s="95">
        <f t="shared" si="16"/>
        <v>0</v>
      </c>
      <c r="I136" s="22" t="s">
        <v>33</v>
      </c>
      <c r="J136" s="22"/>
      <c r="K136" s="17"/>
      <c r="L136" s="23" t="s">
        <v>32</v>
      </c>
      <c r="M136" s="21">
        <v>0.25</v>
      </c>
    </row>
    <row r="137" spans="1:13" x14ac:dyDescent="0.3">
      <c r="A137" s="94">
        <v>5</v>
      </c>
      <c r="B137" s="90" t="s">
        <v>58</v>
      </c>
      <c r="C137" s="2">
        <v>0.98</v>
      </c>
      <c r="D137" s="1"/>
      <c r="E137" s="89">
        <f t="shared" si="15"/>
        <v>0</v>
      </c>
      <c r="F137" s="2">
        <v>0.2</v>
      </c>
      <c r="G137" s="95">
        <f t="shared" si="16"/>
        <v>0</v>
      </c>
      <c r="I137" s="105"/>
      <c r="J137" s="118"/>
      <c r="K137" s="106"/>
      <c r="L137" s="107"/>
      <c r="M137" s="108"/>
    </row>
    <row r="138" spans="1:13" x14ac:dyDescent="0.3">
      <c r="A138" s="94">
        <v>6</v>
      </c>
      <c r="B138" s="90" t="s">
        <v>59</v>
      </c>
      <c r="C138" s="2">
        <v>0.9</v>
      </c>
      <c r="D138" s="1"/>
      <c r="E138" s="89">
        <f t="shared" si="15"/>
        <v>0</v>
      </c>
      <c r="F138" s="2">
        <v>0.15</v>
      </c>
      <c r="G138" s="95">
        <f t="shared" si="16"/>
        <v>0</v>
      </c>
      <c r="I138" s="11" t="s">
        <v>34</v>
      </c>
      <c r="J138" s="17"/>
      <c r="K138" s="10" t="s">
        <v>36</v>
      </c>
      <c r="L138" s="119">
        <f>G140</f>
        <v>0</v>
      </c>
      <c r="M138" s="108"/>
    </row>
    <row r="139" spans="1:13" ht="15" thickBot="1" x14ac:dyDescent="0.35">
      <c r="A139" s="96">
        <v>7</v>
      </c>
      <c r="B139" s="97" t="s">
        <v>63</v>
      </c>
      <c r="C139" s="6">
        <v>1</v>
      </c>
      <c r="D139" s="5"/>
      <c r="E139" s="98">
        <f t="shared" si="15"/>
        <v>0</v>
      </c>
      <c r="F139" s="6">
        <v>0.05</v>
      </c>
      <c r="G139" s="99">
        <f t="shared" si="16"/>
        <v>0</v>
      </c>
      <c r="I139" s="11" t="s">
        <v>34</v>
      </c>
      <c r="J139" s="17"/>
      <c r="K139" s="10" t="s">
        <v>36</v>
      </c>
      <c r="L139" s="119">
        <f>G140</f>
        <v>0</v>
      </c>
      <c r="M139" s="108"/>
    </row>
    <row r="140" spans="1:13" ht="15" thickBot="1" x14ac:dyDescent="0.35">
      <c r="A140" s="33" t="s">
        <v>36</v>
      </c>
      <c r="B140" s="34"/>
      <c r="C140" s="34"/>
      <c r="D140" s="34"/>
      <c r="E140" s="34"/>
      <c r="F140" s="133">
        <f>SUM(F133:F139)</f>
        <v>1</v>
      </c>
      <c r="G140" s="101">
        <f>SUM(G133:G139)</f>
        <v>0</v>
      </c>
      <c r="I140" s="16" t="s">
        <v>35</v>
      </c>
      <c r="J140" s="31">
        <v>40000</v>
      </c>
      <c r="K140" s="30" t="s">
        <v>37</v>
      </c>
      <c r="L140" s="32">
        <f>IF(L139&lt;75%,0,J140*L139)</f>
        <v>0</v>
      </c>
    </row>
    <row r="143" spans="1:13" ht="15" thickBot="1" x14ac:dyDescent="0.35">
      <c r="A143" s="66" t="s">
        <v>62</v>
      </c>
      <c r="B143" s="66"/>
    </row>
    <row r="144" spans="1:13" ht="15" thickBot="1" x14ac:dyDescent="0.35">
      <c r="A144" s="86" t="s">
        <v>0</v>
      </c>
      <c r="B144" s="87" t="s">
        <v>1</v>
      </c>
      <c r="C144" s="87" t="s">
        <v>2</v>
      </c>
      <c r="D144" s="87" t="s">
        <v>3</v>
      </c>
      <c r="E144" s="87" t="s">
        <v>4</v>
      </c>
      <c r="F144" s="87" t="s">
        <v>5</v>
      </c>
      <c r="G144" s="88" t="s">
        <v>6</v>
      </c>
      <c r="I144" s="11" t="s">
        <v>27</v>
      </c>
      <c r="J144" s="11"/>
      <c r="K144" s="17"/>
      <c r="L144" s="18" t="s">
        <v>28</v>
      </c>
      <c r="M144" s="19" t="s">
        <v>38</v>
      </c>
    </row>
    <row r="145" spans="1:13" x14ac:dyDescent="0.3">
      <c r="A145" s="91">
        <v>1</v>
      </c>
      <c r="B145" s="3" t="s">
        <v>56</v>
      </c>
      <c r="C145" s="4">
        <v>0.98</v>
      </c>
      <c r="D145" s="4"/>
      <c r="E145" s="92">
        <f>MIN(D145/C145,100%)</f>
        <v>0</v>
      </c>
      <c r="F145" s="4">
        <v>0.2</v>
      </c>
      <c r="G145" s="93">
        <f>E145*F145</f>
        <v>0</v>
      </c>
      <c r="I145" s="17"/>
      <c r="J145" s="17"/>
      <c r="K145" s="17"/>
      <c r="L145" s="64"/>
      <c r="M145" s="65"/>
    </row>
    <row r="146" spans="1:13" x14ac:dyDescent="0.3">
      <c r="A146" s="94">
        <v>2</v>
      </c>
      <c r="B146" s="1" t="s">
        <v>55</v>
      </c>
      <c r="C146" s="2">
        <v>0.95</v>
      </c>
      <c r="D146" s="1"/>
      <c r="E146" s="89">
        <f t="shared" ref="E146:E151" si="17">MIN(D146/C146,100%)</f>
        <v>0</v>
      </c>
      <c r="F146" s="2">
        <v>0.05</v>
      </c>
      <c r="G146" s="95">
        <f t="shared" ref="G146:G151" si="18">E146*F146</f>
        <v>0</v>
      </c>
      <c r="I146" s="22" t="s">
        <v>29</v>
      </c>
      <c r="J146" s="22"/>
      <c r="K146" s="17"/>
      <c r="L146" s="20" t="s">
        <v>39</v>
      </c>
      <c r="M146" s="21">
        <v>0</v>
      </c>
    </row>
    <row r="147" spans="1:13" x14ac:dyDescent="0.3">
      <c r="A147" s="94">
        <v>3</v>
      </c>
      <c r="B147" s="132" t="s">
        <v>49</v>
      </c>
      <c r="C147" s="2">
        <v>0.95</v>
      </c>
      <c r="D147" s="1"/>
      <c r="E147" s="89">
        <f t="shared" si="17"/>
        <v>0</v>
      </c>
      <c r="F147" s="2">
        <v>0.2</v>
      </c>
      <c r="G147" s="95">
        <f t="shared" si="18"/>
        <v>0</v>
      </c>
      <c r="I147" s="22" t="s">
        <v>31</v>
      </c>
      <c r="J147" s="22"/>
      <c r="K147" s="17"/>
      <c r="L147" s="23" t="s">
        <v>30</v>
      </c>
      <c r="M147" s="21">
        <v>0.2</v>
      </c>
    </row>
    <row r="148" spans="1:13" x14ac:dyDescent="0.3">
      <c r="A148" s="94">
        <v>4</v>
      </c>
      <c r="B148" s="1" t="s">
        <v>57</v>
      </c>
      <c r="C148" s="2">
        <v>1</v>
      </c>
      <c r="D148" s="1"/>
      <c r="E148" s="89">
        <f t="shared" si="17"/>
        <v>0</v>
      </c>
      <c r="F148" s="2">
        <v>0.15</v>
      </c>
      <c r="G148" s="95">
        <f t="shared" si="18"/>
        <v>0</v>
      </c>
      <c r="I148" s="22" t="s">
        <v>33</v>
      </c>
      <c r="J148" s="22"/>
      <c r="K148" s="17"/>
      <c r="L148" s="23" t="s">
        <v>32</v>
      </c>
      <c r="M148" s="21">
        <v>0.25</v>
      </c>
    </row>
    <row r="149" spans="1:13" x14ac:dyDescent="0.3">
      <c r="A149" s="94">
        <v>5</v>
      </c>
      <c r="B149" s="90" t="s">
        <v>58</v>
      </c>
      <c r="C149" s="2">
        <v>0.98</v>
      </c>
      <c r="D149" s="1"/>
      <c r="E149" s="89">
        <f t="shared" si="17"/>
        <v>0</v>
      </c>
      <c r="F149" s="2">
        <v>0.2</v>
      </c>
      <c r="G149" s="95">
        <f t="shared" si="18"/>
        <v>0</v>
      </c>
      <c r="I149" s="105"/>
      <c r="J149" s="118"/>
      <c r="K149" s="106"/>
      <c r="L149" s="107"/>
      <c r="M149" s="108"/>
    </row>
    <row r="150" spans="1:13" x14ac:dyDescent="0.3">
      <c r="A150" s="94">
        <v>6</v>
      </c>
      <c r="B150" s="90" t="s">
        <v>59</v>
      </c>
      <c r="C150" s="2">
        <v>0.9</v>
      </c>
      <c r="D150" s="1"/>
      <c r="E150" s="89">
        <f t="shared" si="17"/>
        <v>0</v>
      </c>
      <c r="F150" s="2">
        <v>0.15</v>
      </c>
      <c r="G150" s="95">
        <f t="shared" si="18"/>
        <v>0</v>
      </c>
      <c r="I150" s="11" t="s">
        <v>34</v>
      </c>
      <c r="J150" s="17"/>
      <c r="K150" s="10" t="s">
        <v>36</v>
      </c>
      <c r="L150" s="119">
        <f>G152</f>
        <v>0</v>
      </c>
      <c r="M150" s="108"/>
    </row>
    <row r="151" spans="1:13" ht="15" thickBot="1" x14ac:dyDescent="0.35">
      <c r="A151" s="96">
        <v>7</v>
      </c>
      <c r="B151" s="97" t="s">
        <v>63</v>
      </c>
      <c r="C151" s="6">
        <v>1</v>
      </c>
      <c r="D151" s="5"/>
      <c r="E151" s="98">
        <f t="shared" si="17"/>
        <v>0</v>
      </c>
      <c r="F151" s="6">
        <v>0.05</v>
      </c>
      <c r="G151" s="99">
        <f t="shared" si="18"/>
        <v>0</v>
      </c>
      <c r="I151" s="11" t="s">
        <v>34</v>
      </c>
      <c r="J151" s="17"/>
      <c r="K151" s="10" t="s">
        <v>36</v>
      </c>
      <c r="L151" s="119">
        <f>G152</f>
        <v>0</v>
      </c>
      <c r="M151" s="108"/>
    </row>
    <row r="152" spans="1:13" ht="15" thickBot="1" x14ac:dyDescent="0.35">
      <c r="A152" s="33" t="s">
        <v>36</v>
      </c>
      <c r="B152" s="34"/>
      <c r="C152" s="34"/>
      <c r="D152" s="34"/>
      <c r="E152" s="34"/>
      <c r="F152" s="133">
        <f>SUM(F145:F151)</f>
        <v>1</v>
      </c>
      <c r="G152" s="101">
        <f>SUM(G145:G151)</f>
        <v>0</v>
      </c>
      <c r="I152" s="16" t="s">
        <v>35</v>
      </c>
      <c r="J152" s="31">
        <v>40000</v>
      </c>
      <c r="K152" s="30" t="s">
        <v>37</v>
      </c>
      <c r="L152" s="32">
        <f>IF(L151&lt;75%,0,J152*L151)</f>
        <v>0</v>
      </c>
    </row>
    <row r="155" spans="1:13" ht="15" thickBot="1" x14ac:dyDescent="0.35">
      <c r="A155" s="66" t="s">
        <v>62</v>
      </c>
      <c r="B155" s="66"/>
    </row>
    <row r="156" spans="1:13" ht="15" thickBot="1" x14ac:dyDescent="0.35">
      <c r="A156" s="86" t="s">
        <v>0</v>
      </c>
      <c r="B156" s="87" t="s">
        <v>1</v>
      </c>
      <c r="C156" s="87" t="s">
        <v>2</v>
      </c>
      <c r="D156" s="87" t="s">
        <v>3</v>
      </c>
      <c r="E156" s="87" t="s">
        <v>4</v>
      </c>
      <c r="F156" s="87" t="s">
        <v>5</v>
      </c>
      <c r="G156" s="88" t="s">
        <v>6</v>
      </c>
      <c r="I156" s="11" t="s">
        <v>27</v>
      </c>
      <c r="J156" s="11"/>
      <c r="K156" s="17"/>
      <c r="L156" s="18" t="s">
        <v>28</v>
      </c>
      <c r="M156" s="19" t="s">
        <v>38</v>
      </c>
    </row>
    <row r="157" spans="1:13" x14ac:dyDescent="0.3">
      <c r="A157" s="91">
        <v>1</v>
      </c>
      <c r="B157" s="3" t="s">
        <v>56</v>
      </c>
      <c r="C157" s="4">
        <v>0.98</v>
      </c>
      <c r="D157" s="4"/>
      <c r="E157" s="92">
        <f>MIN(D157/C157,100%)</f>
        <v>0</v>
      </c>
      <c r="F157" s="4">
        <v>0.2</v>
      </c>
      <c r="G157" s="93">
        <f>E157*F157</f>
        <v>0</v>
      </c>
      <c r="I157" s="17"/>
      <c r="J157" s="17"/>
      <c r="K157" s="17"/>
      <c r="L157" s="64"/>
      <c r="M157" s="65"/>
    </row>
    <row r="158" spans="1:13" x14ac:dyDescent="0.3">
      <c r="A158" s="94">
        <v>2</v>
      </c>
      <c r="B158" s="1" t="s">
        <v>55</v>
      </c>
      <c r="C158" s="2">
        <v>0.95</v>
      </c>
      <c r="D158" s="1"/>
      <c r="E158" s="89">
        <f t="shared" ref="E158:E163" si="19">MIN(D158/C158,100%)</f>
        <v>0</v>
      </c>
      <c r="F158" s="2">
        <v>0.05</v>
      </c>
      <c r="G158" s="95">
        <f t="shared" ref="G158:G163" si="20">E158*F158</f>
        <v>0</v>
      </c>
      <c r="I158" s="22" t="s">
        <v>29</v>
      </c>
      <c r="J158" s="22"/>
      <c r="K158" s="17"/>
      <c r="L158" s="20" t="s">
        <v>39</v>
      </c>
      <c r="M158" s="21">
        <v>0</v>
      </c>
    </row>
    <row r="159" spans="1:13" x14ac:dyDescent="0.3">
      <c r="A159" s="94">
        <v>3</v>
      </c>
      <c r="B159" s="132" t="s">
        <v>49</v>
      </c>
      <c r="C159" s="2">
        <v>0.95</v>
      </c>
      <c r="D159" s="1"/>
      <c r="E159" s="89">
        <f t="shared" si="19"/>
        <v>0</v>
      </c>
      <c r="F159" s="2">
        <v>0.2</v>
      </c>
      <c r="G159" s="95">
        <f t="shared" si="20"/>
        <v>0</v>
      </c>
      <c r="I159" s="22" t="s">
        <v>31</v>
      </c>
      <c r="J159" s="22"/>
      <c r="K159" s="17"/>
      <c r="L159" s="23" t="s">
        <v>30</v>
      </c>
      <c r="M159" s="21">
        <v>0.2</v>
      </c>
    </row>
    <row r="160" spans="1:13" x14ac:dyDescent="0.3">
      <c r="A160" s="94">
        <v>4</v>
      </c>
      <c r="B160" s="1" t="s">
        <v>57</v>
      </c>
      <c r="C160" s="2">
        <v>1</v>
      </c>
      <c r="D160" s="1"/>
      <c r="E160" s="89">
        <f t="shared" si="19"/>
        <v>0</v>
      </c>
      <c r="F160" s="2">
        <v>0.15</v>
      </c>
      <c r="G160" s="95">
        <f t="shared" si="20"/>
        <v>0</v>
      </c>
      <c r="I160" s="22" t="s">
        <v>33</v>
      </c>
      <c r="J160" s="22"/>
      <c r="K160" s="17"/>
      <c r="L160" s="23" t="s">
        <v>32</v>
      </c>
      <c r="M160" s="21">
        <v>0.25</v>
      </c>
    </row>
    <row r="161" spans="1:13" x14ac:dyDescent="0.3">
      <c r="A161" s="94">
        <v>5</v>
      </c>
      <c r="B161" s="90" t="s">
        <v>58</v>
      </c>
      <c r="C161" s="2">
        <v>0.98</v>
      </c>
      <c r="D161" s="1"/>
      <c r="E161" s="89">
        <f t="shared" si="19"/>
        <v>0</v>
      </c>
      <c r="F161" s="2">
        <v>0.2</v>
      </c>
      <c r="G161" s="95">
        <f t="shared" si="20"/>
        <v>0</v>
      </c>
      <c r="I161" s="105"/>
      <c r="J161" s="118"/>
      <c r="K161" s="106"/>
      <c r="L161" s="107"/>
      <c r="M161" s="108"/>
    </row>
    <row r="162" spans="1:13" x14ac:dyDescent="0.3">
      <c r="A162" s="94">
        <v>6</v>
      </c>
      <c r="B162" s="90" t="s">
        <v>59</v>
      </c>
      <c r="C162" s="2">
        <v>0.9</v>
      </c>
      <c r="D162" s="1"/>
      <c r="E162" s="89">
        <f t="shared" si="19"/>
        <v>0</v>
      </c>
      <c r="F162" s="2">
        <v>0.15</v>
      </c>
      <c r="G162" s="95">
        <f t="shared" si="20"/>
        <v>0</v>
      </c>
      <c r="I162" s="11" t="s">
        <v>34</v>
      </c>
      <c r="J162" s="17"/>
      <c r="K162" s="10" t="s">
        <v>36</v>
      </c>
      <c r="L162" s="119">
        <f>G164</f>
        <v>0</v>
      </c>
      <c r="M162" s="108"/>
    </row>
    <row r="163" spans="1:13" ht="15" thickBot="1" x14ac:dyDescent="0.35">
      <c r="A163" s="96">
        <v>7</v>
      </c>
      <c r="B163" s="97" t="s">
        <v>63</v>
      </c>
      <c r="C163" s="6">
        <v>1</v>
      </c>
      <c r="D163" s="5"/>
      <c r="E163" s="98">
        <f t="shared" si="19"/>
        <v>0</v>
      </c>
      <c r="F163" s="6">
        <v>0.05</v>
      </c>
      <c r="G163" s="99">
        <f t="shared" si="20"/>
        <v>0</v>
      </c>
      <c r="I163" s="11" t="s">
        <v>34</v>
      </c>
      <c r="J163" s="17"/>
      <c r="K163" s="10" t="s">
        <v>36</v>
      </c>
      <c r="L163" s="119">
        <f>G164</f>
        <v>0</v>
      </c>
      <c r="M163" s="108"/>
    </row>
    <row r="164" spans="1:13" ht="15" thickBot="1" x14ac:dyDescent="0.35">
      <c r="A164" s="33" t="s">
        <v>36</v>
      </c>
      <c r="B164" s="34"/>
      <c r="C164" s="34"/>
      <c r="D164" s="34"/>
      <c r="E164" s="34"/>
      <c r="F164" s="133">
        <f>SUM(F157:F163)</f>
        <v>1</v>
      </c>
      <c r="G164" s="101">
        <f>SUM(G157:G163)</f>
        <v>0</v>
      </c>
      <c r="I164" s="16" t="s">
        <v>35</v>
      </c>
      <c r="J164" s="31">
        <v>40000</v>
      </c>
      <c r="K164" s="30" t="s">
        <v>37</v>
      </c>
      <c r="L164" s="32">
        <f>IF(L163&lt;75%,0,J164*L163)</f>
        <v>0</v>
      </c>
    </row>
    <row r="167" spans="1:13" ht="15" thickBot="1" x14ac:dyDescent="0.35">
      <c r="A167" s="66" t="s">
        <v>62</v>
      </c>
      <c r="B167" s="66"/>
    </row>
    <row r="168" spans="1:13" ht="15" thickBot="1" x14ac:dyDescent="0.35">
      <c r="A168" s="86" t="s">
        <v>0</v>
      </c>
      <c r="B168" s="87" t="s">
        <v>1</v>
      </c>
      <c r="C168" s="87" t="s">
        <v>2</v>
      </c>
      <c r="D168" s="87" t="s">
        <v>3</v>
      </c>
      <c r="E168" s="87" t="s">
        <v>4</v>
      </c>
      <c r="F168" s="87" t="s">
        <v>5</v>
      </c>
      <c r="G168" s="88" t="s">
        <v>6</v>
      </c>
      <c r="I168" s="11" t="s">
        <v>27</v>
      </c>
      <c r="J168" s="11"/>
      <c r="K168" s="17"/>
      <c r="L168" s="18" t="s">
        <v>28</v>
      </c>
      <c r="M168" s="19" t="s">
        <v>38</v>
      </c>
    </row>
    <row r="169" spans="1:13" x14ac:dyDescent="0.3">
      <c r="A169" s="91">
        <v>1</v>
      </c>
      <c r="B169" s="3" t="s">
        <v>56</v>
      </c>
      <c r="C169" s="4">
        <v>0.98</v>
      </c>
      <c r="D169" s="4"/>
      <c r="E169" s="92">
        <f>MIN(D169/C169,100%)</f>
        <v>0</v>
      </c>
      <c r="F169" s="4">
        <v>0.2</v>
      </c>
      <c r="G169" s="93">
        <f>E169*F169</f>
        <v>0</v>
      </c>
      <c r="I169" s="17"/>
      <c r="J169" s="17"/>
      <c r="K169" s="17"/>
      <c r="L169" s="64"/>
      <c r="M169" s="65"/>
    </row>
    <row r="170" spans="1:13" x14ac:dyDescent="0.3">
      <c r="A170" s="94">
        <v>2</v>
      </c>
      <c r="B170" s="1" t="s">
        <v>55</v>
      </c>
      <c r="C170" s="2">
        <v>0.95</v>
      </c>
      <c r="D170" s="1"/>
      <c r="E170" s="89">
        <f t="shared" ref="E170:E175" si="21">MIN(D170/C170,100%)</f>
        <v>0</v>
      </c>
      <c r="F170" s="2">
        <v>0.05</v>
      </c>
      <c r="G170" s="95">
        <f t="shared" ref="G170:G175" si="22">E170*F170</f>
        <v>0</v>
      </c>
      <c r="I170" s="22" t="s">
        <v>29</v>
      </c>
      <c r="J170" s="22"/>
      <c r="K170" s="17"/>
      <c r="L170" s="20" t="s">
        <v>39</v>
      </c>
      <c r="M170" s="21">
        <v>0</v>
      </c>
    </row>
    <row r="171" spans="1:13" x14ac:dyDescent="0.3">
      <c r="A171" s="94">
        <v>3</v>
      </c>
      <c r="B171" s="132" t="s">
        <v>49</v>
      </c>
      <c r="C171" s="2">
        <v>0.95</v>
      </c>
      <c r="D171" s="1"/>
      <c r="E171" s="89">
        <f t="shared" si="21"/>
        <v>0</v>
      </c>
      <c r="F171" s="2">
        <v>0.2</v>
      </c>
      <c r="G171" s="95">
        <f t="shared" si="22"/>
        <v>0</v>
      </c>
      <c r="I171" s="22" t="s">
        <v>31</v>
      </c>
      <c r="J171" s="22"/>
      <c r="K171" s="17"/>
      <c r="L171" s="23" t="s">
        <v>30</v>
      </c>
      <c r="M171" s="21">
        <v>0.2</v>
      </c>
    </row>
    <row r="172" spans="1:13" x14ac:dyDescent="0.3">
      <c r="A172" s="94">
        <v>4</v>
      </c>
      <c r="B172" s="1" t="s">
        <v>57</v>
      </c>
      <c r="C172" s="2">
        <v>1</v>
      </c>
      <c r="D172" s="1"/>
      <c r="E172" s="89">
        <f t="shared" si="21"/>
        <v>0</v>
      </c>
      <c r="F172" s="2">
        <v>0.15</v>
      </c>
      <c r="G172" s="95">
        <f t="shared" si="22"/>
        <v>0</v>
      </c>
      <c r="I172" s="22" t="s">
        <v>33</v>
      </c>
      <c r="J172" s="22"/>
      <c r="K172" s="17"/>
      <c r="L172" s="23" t="s">
        <v>32</v>
      </c>
      <c r="M172" s="21">
        <v>0.25</v>
      </c>
    </row>
    <row r="173" spans="1:13" x14ac:dyDescent="0.3">
      <c r="A173" s="94">
        <v>5</v>
      </c>
      <c r="B173" s="90" t="s">
        <v>58</v>
      </c>
      <c r="C173" s="2">
        <v>0.98</v>
      </c>
      <c r="D173" s="1"/>
      <c r="E173" s="89">
        <f t="shared" si="21"/>
        <v>0</v>
      </c>
      <c r="F173" s="2">
        <v>0.2</v>
      </c>
      <c r="G173" s="95">
        <f t="shared" si="22"/>
        <v>0</v>
      </c>
      <c r="I173" s="105"/>
      <c r="J173" s="118"/>
      <c r="K173" s="106"/>
      <c r="L173" s="107"/>
      <c r="M173" s="108"/>
    </row>
    <row r="174" spans="1:13" x14ac:dyDescent="0.3">
      <c r="A174" s="94">
        <v>6</v>
      </c>
      <c r="B174" s="90" t="s">
        <v>59</v>
      </c>
      <c r="C174" s="2">
        <v>0.9</v>
      </c>
      <c r="D174" s="1"/>
      <c r="E174" s="89">
        <f t="shared" si="21"/>
        <v>0</v>
      </c>
      <c r="F174" s="2">
        <v>0.15</v>
      </c>
      <c r="G174" s="95">
        <f t="shared" si="22"/>
        <v>0</v>
      </c>
      <c r="I174" s="11" t="s">
        <v>34</v>
      </c>
      <c r="J174" s="17"/>
      <c r="K174" s="10" t="s">
        <v>36</v>
      </c>
      <c r="L174" s="119">
        <f>G176</f>
        <v>0</v>
      </c>
      <c r="M174" s="108"/>
    </row>
    <row r="175" spans="1:13" ht="15" thickBot="1" x14ac:dyDescent="0.35">
      <c r="A175" s="96">
        <v>7</v>
      </c>
      <c r="B175" s="97" t="s">
        <v>63</v>
      </c>
      <c r="C175" s="6">
        <v>1</v>
      </c>
      <c r="D175" s="5"/>
      <c r="E175" s="98">
        <f t="shared" si="21"/>
        <v>0</v>
      </c>
      <c r="F175" s="6">
        <v>0.05</v>
      </c>
      <c r="G175" s="99">
        <f t="shared" si="22"/>
        <v>0</v>
      </c>
      <c r="I175" s="11" t="s">
        <v>34</v>
      </c>
      <c r="J175" s="17"/>
      <c r="K175" s="10" t="s">
        <v>36</v>
      </c>
      <c r="L175" s="119">
        <f>G176</f>
        <v>0</v>
      </c>
      <c r="M175" s="108"/>
    </row>
    <row r="176" spans="1:13" ht="15" thickBot="1" x14ac:dyDescent="0.35">
      <c r="A176" s="33" t="s">
        <v>36</v>
      </c>
      <c r="B176" s="34"/>
      <c r="C176" s="34"/>
      <c r="D176" s="34"/>
      <c r="E176" s="34"/>
      <c r="F176" s="133">
        <f>SUM(F169:F175)</f>
        <v>1</v>
      </c>
      <c r="G176" s="101">
        <f>SUM(G169:G175)</f>
        <v>0</v>
      </c>
      <c r="I176" s="16" t="s">
        <v>35</v>
      </c>
      <c r="J176" s="31">
        <v>40000</v>
      </c>
      <c r="K176" s="30" t="s">
        <v>37</v>
      </c>
      <c r="L176" s="32">
        <f>IF(L175&lt;75%,0,J176*L175)</f>
        <v>0</v>
      </c>
    </row>
    <row r="179" spans="1:13" ht="15" thickBot="1" x14ac:dyDescent="0.35">
      <c r="A179" s="66" t="s">
        <v>64</v>
      </c>
      <c r="B179" s="66"/>
    </row>
    <row r="180" spans="1:13" ht="15" thickBot="1" x14ac:dyDescent="0.35">
      <c r="A180" s="86" t="s">
        <v>0</v>
      </c>
      <c r="B180" s="87" t="s">
        <v>1</v>
      </c>
      <c r="C180" s="87" t="s">
        <v>2</v>
      </c>
      <c r="D180" s="87" t="s">
        <v>3</v>
      </c>
      <c r="E180" s="87" t="s">
        <v>4</v>
      </c>
      <c r="F180" s="87" t="s">
        <v>5</v>
      </c>
      <c r="G180" s="88" t="s">
        <v>6</v>
      </c>
      <c r="I180" s="11" t="s">
        <v>27</v>
      </c>
      <c r="J180" s="11"/>
      <c r="K180" s="17"/>
      <c r="L180" s="18" t="s">
        <v>28</v>
      </c>
      <c r="M180" s="19" t="s">
        <v>38</v>
      </c>
    </row>
    <row r="181" spans="1:13" x14ac:dyDescent="0.3">
      <c r="A181" s="91">
        <v>1</v>
      </c>
      <c r="B181" s="138" t="s">
        <v>65</v>
      </c>
      <c r="C181" s="4">
        <v>0.98</v>
      </c>
      <c r="D181" s="4"/>
      <c r="E181" s="92">
        <f>MIN(D181/C181,100%)</f>
        <v>0</v>
      </c>
      <c r="F181" s="4">
        <v>0.3</v>
      </c>
      <c r="G181" s="93">
        <f>E181*F181</f>
        <v>0</v>
      </c>
      <c r="I181" s="17"/>
      <c r="J181" s="17"/>
      <c r="K181" s="17"/>
      <c r="L181" s="64"/>
      <c r="M181" s="65"/>
    </row>
    <row r="182" spans="1:13" x14ac:dyDescent="0.3">
      <c r="A182" s="94">
        <v>2</v>
      </c>
      <c r="B182" s="132" t="s">
        <v>66</v>
      </c>
      <c r="C182" s="2">
        <v>0.95</v>
      </c>
      <c r="D182" s="1"/>
      <c r="E182" s="89">
        <f t="shared" ref="E182:E187" si="23">MIN(D182/C182,100%)</f>
        <v>0</v>
      </c>
      <c r="F182" s="2">
        <v>0.2</v>
      </c>
      <c r="G182" s="95">
        <f t="shared" ref="G182:G187" si="24">E182*F182</f>
        <v>0</v>
      </c>
      <c r="I182" s="22" t="s">
        <v>29</v>
      </c>
      <c r="J182" s="22"/>
      <c r="K182" s="17"/>
      <c r="L182" s="20" t="s">
        <v>39</v>
      </c>
      <c r="M182" s="21">
        <v>0</v>
      </c>
    </row>
    <row r="183" spans="1:13" x14ac:dyDescent="0.3">
      <c r="A183" s="1">
        <v>3</v>
      </c>
      <c r="B183" s="132" t="s">
        <v>67</v>
      </c>
      <c r="C183" s="2">
        <v>1</v>
      </c>
      <c r="D183" s="1"/>
      <c r="E183" s="89">
        <f t="shared" si="23"/>
        <v>0</v>
      </c>
      <c r="F183" s="2">
        <v>0.15</v>
      </c>
      <c r="G183" s="95">
        <f t="shared" si="24"/>
        <v>0</v>
      </c>
      <c r="I183" s="22" t="s">
        <v>31</v>
      </c>
      <c r="J183" s="22"/>
      <c r="K183" s="17"/>
      <c r="L183" s="23" t="s">
        <v>30</v>
      </c>
      <c r="M183" s="21">
        <v>0.2</v>
      </c>
    </row>
    <row r="184" spans="1:13" x14ac:dyDescent="0.3">
      <c r="A184" s="1">
        <v>4</v>
      </c>
      <c r="B184" s="132" t="s">
        <v>68</v>
      </c>
      <c r="C184" s="2">
        <v>0.95</v>
      </c>
      <c r="D184" s="1"/>
      <c r="E184" s="89">
        <f t="shared" si="23"/>
        <v>0</v>
      </c>
      <c r="F184" s="2">
        <v>0.1</v>
      </c>
      <c r="G184" s="95">
        <f t="shared" si="24"/>
        <v>0</v>
      </c>
      <c r="I184" s="22" t="s">
        <v>33</v>
      </c>
      <c r="J184" s="22"/>
      <c r="K184" s="17"/>
      <c r="L184" s="23" t="s">
        <v>32</v>
      </c>
      <c r="M184" s="21">
        <v>0.25</v>
      </c>
    </row>
    <row r="185" spans="1:13" x14ac:dyDescent="0.3">
      <c r="A185" s="1">
        <v>5</v>
      </c>
      <c r="B185" s="139" t="s">
        <v>69</v>
      </c>
      <c r="C185" s="2">
        <v>0.95</v>
      </c>
      <c r="D185" s="1"/>
      <c r="E185" s="89">
        <f t="shared" si="23"/>
        <v>0</v>
      </c>
      <c r="F185" s="2">
        <v>0.1</v>
      </c>
      <c r="G185" s="95">
        <f t="shared" si="24"/>
        <v>0</v>
      </c>
      <c r="I185" s="105"/>
      <c r="J185" s="118"/>
      <c r="K185" s="106"/>
      <c r="L185" s="107"/>
      <c r="M185" s="108"/>
    </row>
    <row r="186" spans="1:13" x14ac:dyDescent="0.3">
      <c r="A186" s="1">
        <v>6</v>
      </c>
      <c r="B186" s="132" t="s">
        <v>49</v>
      </c>
      <c r="C186" s="2">
        <v>0.95</v>
      </c>
      <c r="D186" s="1"/>
      <c r="E186" s="89">
        <f t="shared" si="23"/>
        <v>0</v>
      </c>
      <c r="F186" s="2">
        <v>0.1</v>
      </c>
      <c r="G186" s="95">
        <f t="shared" si="24"/>
        <v>0</v>
      </c>
      <c r="I186" s="11" t="s">
        <v>34</v>
      </c>
      <c r="J186" s="17"/>
      <c r="K186" s="10" t="s">
        <v>36</v>
      </c>
      <c r="L186" s="119">
        <f>G188</f>
        <v>0</v>
      </c>
      <c r="M186" s="108"/>
    </row>
    <row r="187" spans="1:13" ht="15" thickBot="1" x14ac:dyDescent="0.35">
      <c r="A187" s="128">
        <v>7</v>
      </c>
      <c r="B187" s="140" t="s">
        <v>70</v>
      </c>
      <c r="C187" s="6">
        <v>1</v>
      </c>
      <c r="D187" s="5"/>
      <c r="E187" s="98">
        <f t="shared" si="23"/>
        <v>0</v>
      </c>
      <c r="F187" s="6">
        <v>0.05</v>
      </c>
      <c r="G187" s="99">
        <f t="shared" si="24"/>
        <v>0</v>
      </c>
      <c r="I187" s="11" t="s">
        <v>34</v>
      </c>
      <c r="J187" s="17"/>
      <c r="K187" s="10" t="s">
        <v>36</v>
      </c>
      <c r="L187" s="119">
        <f>G188</f>
        <v>0</v>
      </c>
      <c r="M187" s="108"/>
    </row>
    <row r="188" spans="1:13" ht="15" thickBot="1" x14ac:dyDescent="0.35">
      <c r="A188" s="33" t="s">
        <v>36</v>
      </c>
      <c r="B188" s="34"/>
      <c r="C188" s="34"/>
      <c r="D188" s="34"/>
      <c r="E188" s="34"/>
      <c r="F188" s="133">
        <f>SUM(F181:F187)</f>
        <v>1</v>
      </c>
      <c r="G188" s="101">
        <f>SUM(G181:G187)</f>
        <v>0</v>
      </c>
      <c r="I188" s="16" t="s">
        <v>35</v>
      </c>
      <c r="J188" s="31">
        <v>40000</v>
      </c>
      <c r="K188" s="30" t="s">
        <v>37</v>
      </c>
      <c r="L188" s="32">
        <f>IF(L187&lt;75%,0,J188*L187)</f>
        <v>0</v>
      </c>
    </row>
  </sheetData>
  <mergeCells count="34">
    <mergeCell ref="A176:E176"/>
    <mergeCell ref="A179:B179"/>
    <mergeCell ref="A188:E188"/>
    <mergeCell ref="A143:B143"/>
    <mergeCell ref="A152:E152"/>
    <mergeCell ref="A155:B155"/>
    <mergeCell ref="A164:E164"/>
    <mergeCell ref="A167:B167"/>
    <mergeCell ref="B97:B98"/>
    <mergeCell ref="A105:B105"/>
    <mergeCell ref="A115:E115"/>
    <mergeCell ref="A131:B131"/>
    <mergeCell ref="A140:E140"/>
    <mergeCell ref="A118:B118"/>
    <mergeCell ref="A128:E128"/>
    <mergeCell ref="A79:B79"/>
    <mergeCell ref="A88:E88"/>
    <mergeCell ref="B90:C90"/>
    <mergeCell ref="B95:B96"/>
    <mergeCell ref="A53:B53"/>
    <mergeCell ref="A62:E62"/>
    <mergeCell ref="B64:C64"/>
    <mergeCell ref="B69:B70"/>
    <mergeCell ref="B71:B72"/>
    <mergeCell ref="A27:B27"/>
    <mergeCell ref="A36:E36"/>
    <mergeCell ref="B38:C38"/>
    <mergeCell ref="B43:B44"/>
    <mergeCell ref="B45:B46"/>
    <mergeCell ref="A10:E10"/>
    <mergeCell ref="B12:C12"/>
    <mergeCell ref="A1:B1"/>
    <mergeCell ref="B17:B18"/>
    <mergeCell ref="B19:B2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Saleman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2026-08-10T05:08:05Z</dcterms:created>
  <dcterms:modified xsi:type="dcterms:W3CDTF">2026-08-11T08:30:45Z</dcterms:modified>
</cp:coreProperties>
</file>